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OneDrive\Documents\PRICE_VOLUME_ALGO\"/>
    </mc:Choice>
  </mc:AlternateContent>
  <xr:revisionPtr revIDLastSave="0" documentId="13_ncr:1_{6CBECA07-BD58-472B-A411-A06B433DEFF9}" xr6:coauthVersionLast="47" xr6:coauthVersionMax="47" xr10:uidLastSave="{00000000-0000-0000-0000-000000000000}"/>
  <bookViews>
    <workbookView xWindow="-120" yWindow="-120" windowWidth="29040" windowHeight="15720" xr2:uid="{83EFE687-F996-4A21-A040-7C3C5EDB5B3C}"/>
  </bookViews>
  <sheets>
    <sheet name="VOLUME_PRICE_REVERSE_SIGNALS" sheetId="1" r:id="rId1"/>
    <sheet name="Config2" sheetId="2" r:id="rId2"/>
  </sheets>
  <externalReferences>
    <externalReference r:id="rId3"/>
  </externalReferences>
  <definedNames>
    <definedName name="_xlnm._FilterDatabase" localSheetId="1" hidden="1">Config2!$A$13:$K$457</definedName>
    <definedName name="_xlnm._FilterDatabase" localSheetId="0" hidden="1">VOLUME_PRICE_REVERSE_SIGNALS!$A$5:$T$384</definedName>
    <definedName name="_xleta.AND" hidden="1" xlm="1">#NAME?</definedName>
    <definedName name="_xleta.COUNT" hidden="1" xlm="1">#NAME?</definedName>
    <definedName name="_xleta.IF" hidden="1" xlm="1">#NAME?</definedName>
    <definedName name="_xleta.MAX" hidden="1" xlm="1">#NAME?</definedName>
    <definedName name="_xleta.MIN" hidden="1" xlm="1">#NAME?</definedName>
    <definedName name="_xleta.N" hidden="1" xlm="1">#NAME?</definedName>
    <definedName name="_xleta.TRE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73" i="2" l="1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3" i="2"/>
  <c r="J383" i="1"/>
  <c r="K383" i="1" s="1"/>
  <c r="H383" i="1"/>
  <c r="I383" i="1" s="1"/>
  <c r="J382" i="1"/>
  <c r="K382" i="1" s="1"/>
  <c r="H382" i="1"/>
  <c r="I382" i="1" s="1"/>
  <c r="J381" i="1"/>
  <c r="K381" i="1" s="1"/>
  <c r="H381" i="1"/>
  <c r="I381" i="1" s="1"/>
  <c r="J380" i="1"/>
  <c r="K380" i="1" s="1"/>
  <c r="H380" i="1"/>
  <c r="I380" i="1" s="1"/>
  <c r="J379" i="1"/>
  <c r="K379" i="1" s="1"/>
  <c r="H379" i="1"/>
  <c r="I379" i="1" s="1"/>
  <c r="J378" i="1"/>
  <c r="K378" i="1" s="1"/>
  <c r="H378" i="1"/>
  <c r="I378" i="1" s="1"/>
  <c r="J377" i="1"/>
  <c r="K377" i="1" s="1"/>
  <c r="H377" i="1"/>
  <c r="I377" i="1" s="1"/>
  <c r="J376" i="1"/>
  <c r="K376" i="1" s="1"/>
  <c r="H376" i="1"/>
  <c r="I376" i="1" s="1"/>
  <c r="J375" i="1"/>
  <c r="K375" i="1" s="1"/>
  <c r="H375" i="1"/>
  <c r="I375" i="1" s="1"/>
  <c r="J374" i="1"/>
  <c r="K374" i="1" s="1"/>
  <c r="H374" i="1"/>
  <c r="I374" i="1" s="1"/>
  <c r="J373" i="1"/>
  <c r="K373" i="1" s="1"/>
  <c r="H373" i="1"/>
  <c r="I373" i="1" s="1"/>
  <c r="J372" i="1"/>
  <c r="K372" i="1" s="1"/>
  <c r="H372" i="1"/>
  <c r="I372" i="1" s="1"/>
  <c r="J371" i="1"/>
  <c r="K371" i="1" s="1"/>
  <c r="H371" i="1"/>
  <c r="I371" i="1" s="1"/>
  <c r="J370" i="1"/>
  <c r="K370" i="1" s="1"/>
  <c r="H370" i="1"/>
  <c r="I370" i="1" s="1"/>
  <c r="J369" i="1"/>
  <c r="K369" i="1" s="1"/>
  <c r="H369" i="1"/>
  <c r="I369" i="1" s="1"/>
  <c r="J368" i="1"/>
  <c r="K368" i="1" s="1"/>
  <c r="H368" i="1"/>
  <c r="I368" i="1" s="1"/>
  <c r="J367" i="1"/>
  <c r="K367" i="1" s="1"/>
  <c r="H367" i="1"/>
  <c r="I367" i="1" s="1"/>
  <c r="J366" i="1"/>
  <c r="K366" i="1" s="1"/>
  <c r="H366" i="1"/>
  <c r="I366" i="1" s="1"/>
  <c r="J365" i="1"/>
  <c r="K365" i="1" s="1"/>
  <c r="H365" i="1"/>
  <c r="I365" i="1" s="1"/>
  <c r="J364" i="1"/>
  <c r="K364" i="1" s="1"/>
  <c r="H364" i="1"/>
  <c r="I364" i="1" s="1"/>
  <c r="J363" i="1"/>
  <c r="K363" i="1" s="1"/>
  <c r="H363" i="1"/>
  <c r="I363" i="1" s="1"/>
  <c r="J362" i="1"/>
  <c r="K362" i="1" s="1"/>
  <c r="H362" i="1"/>
  <c r="I362" i="1" s="1"/>
  <c r="J361" i="1"/>
  <c r="K361" i="1" s="1"/>
  <c r="H361" i="1"/>
  <c r="I361" i="1" s="1"/>
  <c r="J360" i="1"/>
  <c r="K360" i="1" s="1"/>
  <c r="H360" i="1"/>
  <c r="I360" i="1" s="1"/>
  <c r="J359" i="1"/>
  <c r="K359" i="1" s="1"/>
  <c r="H359" i="1"/>
  <c r="I359" i="1" s="1"/>
  <c r="J358" i="1"/>
  <c r="K358" i="1" s="1"/>
  <c r="H358" i="1"/>
  <c r="I358" i="1" s="1"/>
  <c r="J357" i="1"/>
  <c r="K357" i="1" s="1"/>
  <c r="H357" i="1"/>
  <c r="I357" i="1" s="1"/>
  <c r="J356" i="1"/>
  <c r="K356" i="1" s="1"/>
  <c r="H356" i="1"/>
  <c r="I356" i="1" s="1"/>
  <c r="J355" i="1"/>
  <c r="K355" i="1" s="1"/>
  <c r="H355" i="1"/>
  <c r="I355" i="1" s="1"/>
  <c r="J354" i="1"/>
  <c r="K354" i="1" s="1"/>
  <c r="H354" i="1"/>
  <c r="I354" i="1" s="1"/>
  <c r="J353" i="1"/>
  <c r="K353" i="1" s="1"/>
  <c r="H353" i="1"/>
  <c r="I353" i="1" s="1"/>
  <c r="J352" i="1"/>
  <c r="K352" i="1" s="1"/>
  <c r="H352" i="1"/>
  <c r="I352" i="1" s="1"/>
  <c r="J351" i="1"/>
  <c r="K351" i="1" s="1"/>
  <c r="H351" i="1"/>
  <c r="I351" i="1" s="1"/>
  <c r="J350" i="1"/>
  <c r="K350" i="1" s="1"/>
  <c r="H350" i="1"/>
  <c r="I350" i="1" s="1"/>
  <c r="J349" i="1"/>
  <c r="K349" i="1" s="1"/>
  <c r="H349" i="1"/>
  <c r="I349" i="1" s="1"/>
  <c r="J348" i="1"/>
  <c r="K348" i="1" s="1"/>
  <c r="H348" i="1"/>
  <c r="I348" i="1" s="1"/>
  <c r="J347" i="1"/>
  <c r="K347" i="1" s="1"/>
  <c r="H347" i="1"/>
  <c r="I347" i="1" s="1"/>
  <c r="J346" i="1"/>
  <c r="K346" i="1" s="1"/>
  <c r="H346" i="1"/>
  <c r="I346" i="1" s="1"/>
  <c r="J345" i="1"/>
  <c r="K345" i="1" s="1"/>
  <c r="H345" i="1"/>
  <c r="I345" i="1" s="1"/>
  <c r="J344" i="1"/>
  <c r="K344" i="1" s="1"/>
  <c r="H344" i="1"/>
  <c r="I344" i="1" s="1"/>
  <c r="J343" i="1"/>
  <c r="K343" i="1" s="1"/>
  <c r="H343" i="1"/>
  <c r="I343" i="1" s="1"/>
  <c r="J342" i="1"/>
  <c r="K342" i="1" s="1"/>
  <c r="H342" i="1"/>
  <c r="I342" i="1" s="1"/>
  <c r="J341" i="1"/>
  <c r="K341" i="1" s="1"/>
  <c r="H341" i="1"/>
  <c r="I341" i="1" s="1"/>
  <c r="J340" i="1"/>
  <c r="K340" i="1" s="1"/>
  <c r="H340" i="1"/>
  <c r="I340" i="1" s="1"/>
  <c r="J339" i="1"/>
  <c r="K339" i="1" s="1"/>
  <c r="H339" i="1"/>
  <c r="I339" i="1" s="1"/>
  <c r="J338" i="1"/>
  <c r="K338" i="1" s="1"/>
  <c r="H338" i="1"/>
  <c r="I338" i="1" s="1"/>
  <c r="J337" i="1"/>
  <c r="K337" i="1" s="1"/>
  <c r="H337" i="1"/>
  <c r="I337" i="1" s="1"/>
  <c r="J336" i="1"/>
  <c r="K336" i="1" s="1"/>
  <c r="H336" i="1"/>
  <c r="I336" i="1" s="1"/>
  <c r="J335" i="1"/>
  <c r="K335" i="1" s="1"/>
  <c r="H335" i="1"/>
  <c r="I335" i="1" s="1"/>
  <c r="J334" i="1"/>
  <c r="K334" i="1" s="1"/>
  <c r="H334" i="1"/>
  <c r="I334" i="1" s="1"/>
  <c r="J333" i="1"/>
  <c r="K333" i="1" s="1"/>
  <c r="H333" i="1"/>
  <c r="I333" i="1" s="1"/>
  <c r="J332" i="1"/>
  <c r="K332" i="1" s="1"/>
  <c r="H332" i="1"/>
  <c r="I332" i="1" s="1"/>
  <c r="J331" i="1"/>
  <c r="K331" i="1" s="1"/>
  <c r="H331" i="1"/>
  <c r="I331" i="1" s="1"/>
  <c r="J330" i="1"/>
  <c r="K330" i="1" s="1"/>
  <c r="H330" i="1"/>
  <c r="I330" i="1" s="1"/>
  <c r="J329" i="1"/>
  <c r="K329" i="1" s="1"/>
  <c r="H329" i="1"/>
  <c r="I329" i="1" s="1"/>
  <c r="J328" i="1"/>
  <c r="K328" i="1" s="1"/>
  <c r="H328" i="1"/>
  <c r="I328" i="1" s="1"/>
  <c r="J327" i="1"/>
  <c r="K327" i="1" s="1"/>
  <c r="H327" i="1"/>
  <c r="I327" i="1" s="1"/>
  <c r="J326" i="1"/>
  <c r="K326" i="1" s="1"/>
  <c r="H326" i="1"/>
  <c r="I326" i="1" s="1"/>
  <c r="J325" i="1"/>
  <c r="K325" i="1" s="1"/>
  <c r="H325" i="1"/>
  <c r="I325" i="1" s="1"/>
  <c r="J324" i="1"/>
  <c r="K324" i="1" s="1"/>
  <c r="H324" i="1"/>
  <c r="I324" i="1" s="1"/>
  <c r="J323" i="1"/>
  <c r="K323" i="1" s="1"/>
  <c r="H323" i="1"/>
  <c r="I323" i="1" s="1"/>
  <c r="J322" i="1"/>
  <c r="K322" i="1" s="1"/>
  <c r="H322" i="1"/>
  <c r="I322" i="1" s="1"/>
  <c r="J321" i="1"/>
  <c r="K321" i="1" s="1"/>
  <c r="H321" i="1"/>
  <c r="I321" i="1" s="1"/>
  <c r="J320" i="1"/>
  <c r="K320" i="1" s="1"/>
  <c r="H320" i="1"/>
  <c r="I320" i="1" s="1"/>
  <c r="J319" i="1"/>
  <c r="K319" i="1" s="1"/>
  <c r="H319" i="1"/>
  <c r="I319" i="1" s="1"/>
  <c r="J318" i="1"/>
  <c r="K318" i="1" s="1"/>
  <c r="H318" i="1"/>
  <c r="I318" i="1" s="1"/>
  <c r="J317" i="1"/>
  <c r="K317" i="1" s="1"/>
  <c r="H317" i="1"/>
  <c r="I317" i="1" s="1"/>
  <c r="J316" i="1"/>
  <c r="K316" i="1" s="1"/>
  <c r="H316" i="1"/>
  <c r="I316" i="1" s="1"/>
  <c r="J315" i="1"/>
  <c r="K315" i="1" s="1"/>
  <c r="H315" i="1"/>
  <c r="I315" i="1" s="1"/>
  <c r="J314" i="1"/>
  <c r="K314" i="1" s="1"/>
  <c r="H314" i="1"/>
  <c r="I314" i="1" s="1"/>
  <c r="J313" i="1"/>
  <c r="K313" i="1" s="1"/>
  <c r="H313" i="1"/>
  <c r="I313" i="1" s="1"/>
  <c r="J312" i="1"/>
  <c r="K312" i="1" s="1"/>
  <c r="H312" i="1"/>
  <c r="I312" i="1" s="1"/>
  <c r="J311" i="1"/>
  <c r="K311" i="1" s="1"/>
  <c r="H311" i="1"/>
  <c r="I311" i="1" s="1"/>
  <c r="J310" i="1"/>
  <c r="K310" i="1" s="1"/>
  <c r="H310" i="1"/>
  <c r="I310" i="1" s="1"/>
  <c r="J309" i="1"/>
  <c r="K309" i="1" s="1"/>
  <c r="H309" i="1"/>
  <c r="I309" i="1" s="1"/>
  <c r="J308" i="1"/>
  <c r="K308" i="1" s="1"/>
  <c r="H308" i="1"/>
  <c r="I308" i="1" s="1"/>
  <c r="J307" i="1"/>
  <c r="K307" i="1" s="1"/>
  <c r="H307" i="1"/>
  <c r="I307" i="1" s="1"/>
  <c r="J306" i="1"/>
  <c r="K306" i="1" s="1"/>
  <c r="H306" i="1"/>
  <c r="I306" i="1" s="1"/>
  <c r="J305" i="1"/>
  <c r="K305" i="1" s="1"/>
  <c r="H305" i="1"/>
  <c r="I305" i="1" s="1"/>
  <c r="J304" i="1"/>
  <c r="K304" i="1" s="1"/>
  <c r="H304" i="1"/>
  <c r="I304" i="1" s="1"/>
  <c r="J303" i="1"/>
  <c r="K303" i="1" s="1"/>
  <c r="H303" i="1"/>
  <c r="I303" i="1" s="1"/>
  <c r="J302" i="1"/>
  <c r="K302" i="1" s="1"/>
  <c r="H302" i="1"/>
  <c r="I302" i="1" s="1"/>
  <c r="J301" i="1"/>
  <c r="K301" i="1" s="1"/>
  <c r="H301" i="1"/>
  <c r="I301" i="1" s="1"/>
  <c r="J300" i="1"/>
  <c r="K300" i="1" s="1"/>
  <c r="H300" i="1"/>
  <c r="I300" i="1" s="1"/>
  <c r="J299" i="1"/>
  <c r="K299" i="1" s="1"/>
  <c r="H299" i="1"/>
  <c r="I299" i="1" s="1"/>
  <c r="J298" i="1"/>
  <c r="K298" i="1" s="1"/>
  <c r="H298" i="1"/>
  <c r="I298" i="1" s="1"/>
  <c r="J297" i="1"/>
  <c r="K297" i="1" s="1"/>
  <c r="H297" i="1"/>
  <c r="I297" i="1" s="1"/>
  <c r="J296" i="1"/>
  <c r="K296" i="1" s="1"/>
  <c r="H296" i="1"/>
  <c r="I296" i="1" s="1"/>
  <c r="J295" i="1"/>
  <c r="K295" i="1" s="1"/>
  <c r="H295" i="1"/>
  <c r="I295" i="1" s="1"/>
  <c r="J294" i="1"/>
  <c r="K294" i="1" s="1"/>
  <c r="H294" i="1"/>
  <c r="I294" i="1" s="1"/>
  <c r="J293" i="1"/>
  <c r="K293" i="1" s="1"/>
  <c r="H293" i="1"/>
  <c r="I293" i="1" s="1"/>
  <c r="J292" i="1"/>
  <c r="K292" i="1" s="1"/>
  <c r="H292" i="1"/>
  <c r="I292" i="1" s="1"/>
  <c r="J291" i="1"/>
  <c r="K291" i="1" s="1"/>
  <c r="H291" i="1"/>
  <c r="I291" i="1" s="1"/>
  <c r="J290" i="1"/>
  <c r="K290" i="1" s="1"/>
  <c r="H290" i="1"/>
  <c r="I290" i="1" s="1"/>
  <c r="J289" i="1"/>
  <c r="K289" i="1" s="1"/>
  <c r="H289" i="1"/>
  <c r="I289" i="1" s="1"/>
  <c r="J288" i="1"/>
  <c r="K288" i="1" s="1"/>
  <c r="H288" i="1"/>
  <c r="I288" i="1" s="1"/>
  <c r="J287" i="1"/>
  <c r="K287" i="1" s="1"/>
  <c r="H287" i="1"/>
  <c r="I287" i="1" s="1"/>
  <c r="J286" i="1"/>
  <c r="K286" i="1" s="1"/>
  <c r="H286" i="1"/>
  <c r="I286" i="1" s="1"/>
  <c r="J285" i="1"/>
  <c r="K285" i="1" s="1"/>
  <c r="H285" i="1"/>
  <c r="I285" i="1" s="1"/>
  <c r="J284" i="1"/>
  <c r="K284" i="1" s="1"/>
  <c r="H284" i="1"/>
  <c r="I284" i="1" s="1"/>
  <c r="J283" i="1"/>
  <c r="K283" i="1" s="1"/>
  <c r="H283" i="1"/>
  <c r="I283" i="1" s="1"/>
  <c r="J282" i="1"/>
  <c r="K282" i="1" s="1"/>
  <c r="H282" i="1"/>
  <c r="I282" i="1" s="1"/>
  <c r="J281" i="1"/>
  <c r="K281" i="1" s="1"/>
  <c r="H281" i="1"/>
  <c r="I281" i="1" s="1"/>
  <c r="J280" i="1"/>
  <c r="K280" i="1" s="1"/>
  <c r="H280" i="1"/>
  <c r="I280" i="1" s="1"/>
  <c r="J279" i="1"/>
  <c r="K279" i="1" s="1"/>
  <c r="H279" i="1"/>
  <c r="I279" i="1" s="1"/>
  <c r="J278" i="1"/>
  <c r="K278" i="1" s="1"/>
  <c r="H278" i="1"/>
  <c r="I278" i="1" s="1"/>
  <c r="J277" i="1"/>
  <c r="K277" i="1" s="1"/>
  <c r="H277" i="1"/>
  <c r="I277" i="1" s="1"/>
  <c r="J276" i="1"/>
  <c r="K276" i="1" s="1"/>
  <c r="H276" i="1"/>
  <c r="I276" i="1" s="1"/>
  <c r="J275" i="1"/>
  <c r="K275" i="1" s="1"/>
  <c r="H275" i="1"/>
  <c r="I275" i="1" s="1"/>
  <c r="J274" i="1"/>
  <c r="K274" i="1" s="1"/>
  <c r="H274" i="1"/>
  <c r="I274" i="1" s="1"/>
  <c r="J273" i="1"/>
  <c r="K273" i="1" s="1"/>
  <c r="H273" i="1"/>
  <c r="I273" i="1" s="1"/>
  <c r="J272" i="1"/>
  <c r="K272" i="1" s="1"/>
  <c r="H272" i="1"/>
  <c r="I272" i="1" s="1"/>
  <c r="J271" i="1"/>
  <c r="K271" i="1" s="1"/>
  <c r="H271" i="1"/>
  <c r="I271" i="1" s="1"/>
  <c r="J270" i="1"/>
  <c r="K270" i="1" s="1"/>
  <c r="H270" i="1"/>
  <c r="I270" i="1" s="1"/>
  <c r="J269" i="1"/>
  <c r="K269" i="1" s="1"/>
  <c r="H269" i="1"/>
  <c r="I269" i="1" s="1"/>
  <c r="J268" i="1"/>
  <c r="K268" i="1" s="1"/>
  <c r="H268" i="1"/>
  <c r="I268" i="1" s="1"/>
  <c r="J267" i="1"/>
  <c r="K267" i="1" s="1"/>
  <c r="H267" i="1"/>
  <c r="I267" i="1" s="1"/>
  <c r="J266" i="1"/>
  <c r="K266" i="1" s="1"/>
  <c r="H266" i="1"/>
  <c r="I266" i="1" s="1"/>
  <c r="J265" i="1"/>
  <c r="K265" i="1" s="1"/>
  <c r="H265" i="1"/>
  <c r="I265" i="1" s="1"/>
  <c r="J264" i="1"/>
  <c r="K264" i="1" s="1"/>
  <c r="H264" i="1"/>
  <c r="I264" i="1" s="1"/>
  <c r="J263" i="1"/>
  <c r="K263" i="1" s="1"/>
  <c r="H263" i="1"/>
  <c r="I263" i="1" s="1"/>
  <c r="J262" i="1"/>
  <c r="K262" i="1" s="1"/>
  <c r="H262" i="1"/>
  <c r="I262" i="1" s="1"/>
  <c r="J261" i="1"/>
  <c r="K261" i="1" s="1"/>
  <c r="H261" i="1"/>
  <c r="I261" i="1" s="1"/>
  <c r="J260" i="1"/>
  <c r="K260" i="1" s="1"/>
  <c r="H260" i="1"/>
  <c r="I260" i="1" s="1"/>
  <c r="J259" i="1"/>
  <c r="K259" i="1" s="1"/>
  <c r="H259" i="1"/>
  <c r="I259" i="1" s="1"/>
  <c r="J258" i="1"/>
  <c r="K258" i="1" s="1"/>
  <c r="H258" i="1"/>
  <c r="I258" i="1" s="1"/>
  <c r="J257" i="1"/>
  <c r="K257" i="1" s="1"/>
  <c r="H257" i="1"/>
  <c r="I257" i="1" s="1"/>
  <c r="J256" i="1"/>
  <c r="K256" i="1" s="1"/>
  <c r="H256" i="1"/>
  <c r="I256" i="1" s="1"/>
  <c r="J255" i="1"/>
  <c r="K255" i="1" s="1"/>
  <c r="H255" i="1"/>
  <c r="I255" i="1" s="1"/>
  <c r="J254" i="1"/>
  <c r="K254" i="1" s="1"/>
  <c r="H254" i="1"/>
  <c r="I254" i="1" s="1"/>
  <c r="J253" i="1"/>
  <c r="K253" i="1" s="1"/>
  <c r="H253" i="1"/>
  <c r="I253" i="1" s="1"/>
  <c r="J252" i="1"/>
  <c r="K252" i="1" s="1"/>
  <c r="H252" i="1"/>
  <c r="I252" i="1" s="1"/>
  <c r="J251" i="1"/>
  <c r="K251" i="1" s="1"/>
  <c r="H251" i="1"/>
  <c r="I251" i="1" s="1"/>
  <c r="J250" i="1"/>
  <c r="K250" i="1" s="1"/>
  <c r="H250" i="1"/>
  <c r="I250" i="1" s="1"/>
  <c r="J249" i="1"/>
  <c r="K249" i="1" s="1"/>
  <c r="H249" i="1"/>
  <c r="I249" i="1" s="1"/>
  <c r="J248" i="1"/>
  <c r="K248" i="1" s="1"/>
  <c r="H248" i="1"/>
  <c r="I248" i="1" s="1"/>
  <c r="J247" i="1"/>
  <c r="K247" i="1" s="1"/>
  <c r="H247" i="1"/>
  <c r="I247" i="1" s="1"/>
  <c r="J246" i="1"/>
  <c r="K246" i="1" s="1"/>
  <c r="H246" i="1"/>
  <c r="I246" i="1" s="1"/>
  <c r="J245" i="1"/>
  <c r="K245" i="1" s="1"/>
  <c r="H245" i="1"/>
  <c r="I245" i="1" s="1"/>
  <c r="J244" i="1"/>
  <c r="K244" i="1" s="1"/>
  <c r="H244" i="1"/>
  <c r="I244" i="1" s="1"/>
  <c r="J243" i="1"/>
  <c r="K243" i="1" s="1"/>
  <c r="H243" i="1"/>
  <c r="I243" i="1" s="1"/>
  <c r="J242" i="1"/>
  <c r="K242" i="1" s="1"/>
  <c r="H242" i="1"/>
  <c r="I242" i="1" s="1"/>
  <c r="J241" i="1"/>
  <c r="K241" i="1" s="1"/>
  <c r="H241" i="1"/>
  <c r="I241" i="1" s="1"/>
  <c r="J240" i="1"/>
  <c r="K240" i="1" s="1"/>
  <c r="H240" i="1"/>
  <c r="I240" i="1" s="1"/>
  <c r="J239" i="1"/>
  <c r="K239" i="1" s="1"/>
  <c r="H239" i="1"/>
  <c r="I239" i="1" s="1"/>
  <c r="J238" i="1"/>
  <c r="K238" i="1" s="1"/>
  <c r="H238" i="1"/>
  <c r="I238" i="1" s="1"/>
  <c r="J237" i="1"/>
  <c r="K237" i="1" s="1"/>
  <c r="H237" i="1"/>
  <c r="I237" i="1" s="1"/>
  <c r="J236" i="1"/>
  <c r="K236" i="1" s="1"/>
  <c r="H236" i="1"/>
  <c r="I236" i="1" s="1"/>
  <c r="J235" i="1"/>
  <c r="K235" i="1" s="1"/>
  <c r="H235" i="1"/>
  <c r="I235" i="1" s="1"/>
  <c r="J234" i="1"/>
  <c r="K234" i="1" s="1"/>
  <c r="H234" i="1"/>
  <c r="I234" i="1" s="1"/>
  <c r="J233" i="1"/>
  <c r="K233" i="1" s="1"/>
  <c r="H233" i="1"/>
  <c r="I233" i="1" s="1"/>
  <c r="J232" i="1"/>
  <c r="K232" i="1" s="1"/>
  <c r="H232" i="1"/>
  <c r="I232" i="1" s="1"/>
  <c r="J231" i="1"/>
  <c r="K231" i="1" s="1"/>
  <c r="H231" i="1"/>
  <c r="I231" i="1" s="1"/>
  <c r="J230" i="1"/>
  <c r="K230" i="1" s="1"/>
  <c r="H230" i="1"/>
  <c r="I230" i="1" s="1"/>
  <c r="J229" i="1"/>
  <c r="K229" i="1" s="1"/>
  <c r="H229" i="1"/>
  <c r="I229" i="1" s="1"/>
  <c r="J228" i="1"/>
  <c r="K228" i="1" s="1"/>
  <c r="H228" i="1"/>
  <c r="I228" i="1" s="1"/>
  <c r="J227" i="1"/>
  <c r="K227" i="1" s="1"/>
  <c r="H227" i="1"/>
  <c r="I227" i="1" s="1"/>
  <c r="J226" i="1"/>
  <c r="K226" i="1" s="1"/>
  <c r="H226" i="1"/>
  <c r="I226" i="1" s="1"/>
  <c r="J225" i="1"/>
  <c r="K225" i="1" s="1"/>
  <c r="H225" i="1"/>
  <c r="I225" i="1" s="1"/>
  <c r="J224" i="1"/>
  <c r="K224" i="1" s="1"/>
  <c r="H224" i="1"/>
  <c r="I224" i="1" s="1"/>
  <c r="J223" i="1"/>
  <c r="K223" i="1" s="1"/>
  <c r="H223" i="1"/>
  <c r="I223" i="1" s="1"/>
  <c r="J222" i="1"/>
  <c r="K222" i="1" s="1"/>
  <c r="H222" i="1"/>
  <c r="I222" i="1" s="1"/>
  <c r="J221" i="1"/>
  <c r="K221" i="1" s="1"/>
  <c r="H221" i="1"/>
  <c r="I221" i="1" s="1"/>
  <c r="J220" i="1"/>
  <c r="K220" i="1" s="1"/>
  <c r="H220" i="1"/>
  <c r="I220" i="1" s="1"/>
  <c r="J219" i="1"/>
  <c r="K219" i="1" s="1"/>
  <c r="H219" i="1"/>
  <c r="I219" i="1" s="1"/>
  <c r="J218" i="1"/>
  <c r="K218" i="1" s="1"/>
  <c r="H218" i="1"/>
  <c r="I218" i="1" s="1"/>
  <c r="J217" i="1"/>
  <c r="K217" i="1" s="1"/>
  <c r="H217" i="1"/>
  <c r="I217" i="1" s="1"/>
  <c r="J216" i="1"/>
  <c r="K216" i="1" s="1"/>
  <c r="H216" i="1"/>
  <c r="I216" i="1" s="1"/>
  <c r="J215" i="1"/>
  <c r="K215" i="1" s="1"/>
  <c r="H215" i="1"/>
  <c r="I215" i="1" s="1"/>
  <c r="J214" i="1"/>
  <c r="K214" i="1" s="1"/>
  <c r="H214" i="1"/>
  <c r="I214" i="1" s="1"/>
  <c r="J213" i="1"/>
  <c r="K213" i="1" s="1"/>
  <c r="H213" i="1"/>
  <c r="I213" i="1" s="1"/>
  <c r="J212" i="1"/>
  <c r="K212" i="1" s="1"/>
  <c r="H212" i="1"/>
  <c r="I212" i="1" s="1"/>
  <c r="J211" i="1"/>
  <c r="K211" i="1" s="1"/>
  <c r="H211" i="1"/>
  <c r="I211" i="1" s="1"/>
  <c r="J210" i="1"/>
  <c r="K210" i="1" s="1"/>
  <c r="H210" i="1"/>
  <c r="I210" i="1" s="1"/>
  <c r="J209" i="1"/>
  <c r="K209" i="1" s="1"/>
  <c r="H209" i="1"/>
  <c r="I209" i="1" s="1"/>
  <c r="J208" i="1"/>
  <c r="K208" i="1" s="1"/>
  <c r="H208" i="1"/>
  <c r="I208" i="1" s="1"/>
  <c r="J207" i="1"/>
  <c r="K207" i="1" s="1"/>
  <c r="H207" i="1"/>
  <c r="I207" i="1" s="1"/>
  <c r="J206" i="1"/>
  <c r="K206" i="1" s="1"/>
  <c r="H206" i="1"/>
  <c r="I206" i="1" s="1"/>
  <c r="J205" i="1"/>
  <c r="K205" i="1" s="1"/>
  <c r="H205" i="1"/>
  <c r="I205" i="1" s="1"/>
  <c r="J204" i="1"/>
  <c r="K204" i="1" s="1"/>
  <c r="H204" i="1"/>
  <c r="I204" i="1" s="1"/>
  <c r="J203" i="1"/>
  <c r="K203" i="1" s="1"/>
  <c r="H203" i="1"/>
  <c r="I203" i="1" s="1"/>
  <c r="J202" i="1"/>
  <c r="K202" i="1" s="1"/>
  <c r="H202" i="1"/>
  <c r="I202" i="1" s="1"/>
  <c r="J201" i="1"/>
  <c r="K201" i="1" s="1"/>
  <c r="H201" i="1"/>
  <c r="I201" i="1" s="1"/>
  <c r="J200" i="1"/>
  <c r="K200" i="1" s="1"/>
  <c r="H200" i="1"/>
  <c r="I200" i="1" s="1"/>
  <c r="J199" i="1"/>
  <c r="K199" i="1" s="1"/>
  <c r="H199" i="1"/>
  <c r="I199" i="1" s="1"/>
  <c r="J198" i="1"/>
  <c r="K198" i="1" s="1"/>
  <c r="H198" i="1"/>
  <c r="I198" i="1" s="1"/>
  <c r="J197" i="1"/>
  <c r="K197" i="1" s="1"/>
  <c r="H197" i="1"/>
  <c r="I197" i="1" s="1"/>
  <c r="J196" i="1"/>
  <c r="K196" i="1" s="1"/>
  <c r="H196" i="1"/>
  <c r="I196" i="1" s="1"/>
  <c r="J195" i="1"/>
  <c r="K195" i="1" s="1"/>
  <c r="H195" i="1"/>
  <c r="I195" i="1" s="1"/>
  <c r="J194" i="1"/>
  <c r="K194" i="1" s="1"/>
  <c r="H194" i="1"/>
  <c r="I194" i="1" s="1"/>
  <c r="J193" i="1"/>
  <c r="K193" i="1" s="1"/>
  <c r="H193" i="1"/>
  <c r="I193" i="1" s="1"/>
  <c r="J192" i="1"/>
  <c r="K192" i="1" s="1"/>
  <c r="H192" i="1"/>
  <c r="I192" i="1" s="1"/>
  <c r="J191" i="1"/>
  <c r="K191" i="1" s="1"/>
  <c r="H191" i="1"/>
  <c r="I191" i="1" s="1"/>
  <c r="J190" i="1"/>
  <c r="K190" i="1" s="1"/>
  <c r="H190" i="1"/>
  <c r="I190" i="1" s="1"/>
  <c r="J189" i="1"/>
  <c r="K189" i="1" s="1"/>
  <c r="H189" i="1"/>
  <c r="I189" i="1" s="1"/>
  <c r="J188" i="1"/>
  <c r="K188" i="1" s="1"/>
  <c r="H188" i="1"/>
  <c r="I188" i="1" s="1"/>
  <c r="J187" i="1"/>
  <c r="K187" i="1" s="1"/>
  <c r="H187" i="1"/>
  <c r="I187" i="1" s="1"/>
  <c r="J186" i="1"/>
  <c r="K186" i="1" s="1"/>
  <c r="H186" i="1"/>
  <c r="I186" i="1" s="1"/>
  <c r="J185" i="1"/>
  <c r="K185" i="1" s="1"/>
  <c r="H185" i="1"/>
  <c r="I185" i="1" s="1"/>
  <c r="J184" i="1"/>
  <c r="K184" i="1" s="1"/>
  <c r="H184" i="1"/>
  <c r="I184" i="1" s="1"/>
  <c r="J183" i="1"/>
  <c r="K183" i="1" s="1"/>
  <c r="H183" i="1"/>
  <c r="I183" i="1" s="1"/>
  <c r="J182" i="1"/>
  <c r="K182" i="1" s="1"/>
  <c r="H182" i="1"/>
  <c r="I182" i="1" s="1"/>
  <c r="J181" i="1"/>
  <c r="K181" i="1" s="1"/>
  <c r="H181" i="1"/>
  <c r="I181" i="1" s="1"/>
  <c r="J180" i="1"/>
  <c r="K180" i="1" s="1"/>
  <c r="H180" i="1"/>
  <c r="I180" i="1" s="1"/>
  <c r="J179" i="1"/>
  <c r="K179" i="1" s="1"/>
  <c r="H179" i="1"/>
  <c r="I179" i="1" s="1"/>
  <c r="J178" i="1"/>
  <c r="K178" i="1" s="1"/>
  <c r="H178" i="1"/>
  <c r="I178" i="1" s="1"/>
  <c r="J177" i="1"/>
  <c r="K177" i="1" s="1"/>
  <c r="H177" i="1"/>
  <c r="I177" i="1" s="1"/>
  <c r="J176" i="1"/>
  <c r="K176" i="1" s="1"/>
  <c r="H176" i="1"/>
  <c r="I176" i="1" s="1"/>
  <c r="J175" i="1"/>
  <c r="K175" i="1" s="1"/>
  <c r="H175" i="1"/>
  <c r="I175" i="1" s="1"/>
  <c r="J174" i="1"/>
  <c r="K174" i="1" s="1"/>
  <c r="H174" i="1"/>
  <c r="I174" i="1" s="1"/>
  <c r="J173" i="1"/>
  <c r="K173" i="1" s="1"/>
  <c r="H173" i="1"/>
  <c r="I173" i="1" s="1"/>
  <c r="J172" i="1"/>
  <c r="K172" i="1" s="1"/>
  <c r="H172" i="1"/>
  <c r="I172" i="1" s="1"/>
  <c r="J171" i="1"/>
  <c r="K171" i="1" s="1"/>
  <c r="H171" i="1"/>
  <c r="I171" i="1" s="1"/>
  <c r="J170" i="1"/>
  <c r="K170" i="1" s="1"/>
  <c r="H170" i="1"/>
  <c r="I170" i="1" s="1"/>
  <c r="J169" i="1"/>
  <c r="K169" i="1" s="1"/>
  <c r="H169" i="1"/>
  <c r="I169" i="1" s="1"/>
  <c r="J168" i="1"/>
  <c r="K168" i="1" s="1"/>
  <c r="H168" i="1"/>
  <c r="I168" i="1" s="1"/>
  <c r="J167" i="1"/>
  <c r="K167" i="1" s="1"/>
  <c r="H167" i="1"/>
  <c r="I167" i="1" s="1"/>
  <c r="J166" i="1"/>
  <c r="K166" i="1" s="1"/>
  <c r="H166" i="1"/>
  <c r="I166" i="1" s="1"/>
  <c r="J165" i="1"/>
  <c r="K165" i="1" s="1"/>
  <c r="H165" i="1"/>
  <c r="I165" i="1" s="1"/>
  <c r="J164" i="1"/>
  <c r="K164" i="1" s="1"/>
  <c r="H164" i="1"/>
  <c r="I164" i="1" s="1"/>
  <c r="J163" i="1"/>
  <c r="K163" i="1" s="1"/>
  <c r="H163" i="1"/>
  <c r="I163" i="1" s="1"/>
  <c r="J162" i="1"/>
  <c r="K162" i="1" s="1"/>
  <c r="H162" i="1"/>
  <c r="I162" i="1" s="1"/>
  <c r="J161" i="1"/>
  <c r="K161" i="1" s="1"/>
  <c r="H161" i="1"/>
  <c r="I161" i="1" s="1"/>
  <c r="J160" i="1"/>
  <c r="K160" i="1" s="1"/>
  <c r="H160" i="1"/>
  <c r="I160" i="1" s="1"/>
  <c r="J159" i="1"/>
  <c r="K159" i="1" s="1"/>
  <c r="H159" i="1"/>
  <c r="I159" i="1" s="1"/>
  <c r="J158" i="1"/>
  <c r="K158" i="1" s="1"/>
  <c r="H158" i="1"/>
  <c r="I158" i="1" s="1"/>
  <c r="J157" i="1"/>
  <c r="K157" i="1" s="1"/>
  <c r="H157" i="1"/>
  <c r="I157" i="1" s="1"/>
  <c r="J156" i="1"/>
  <c r="K156" i="1" s="1"/>
  <c r="H156" i="1"/>
  <c r="I156" i="1" s="1"/>
  <c r="J155" i="1"/>
  <c r="K155" i="1" s="1"/>
  <c r="H155" i="1"/>
  <c r="I155" i="1" s="1"/>
  <c r="J154" i="1"/>
  <c r="K154" i="1" s="1"/>
  <c r="H154" i="1"/>
  <c r="I154" i="1" s="1"/>
  <c r="J153" i="1"/>
  <c r="K153" i="1" s="1"/>
  <c r="H153" i="1"/>
  <c r="I153" i="1" s="1"/>
  <c r="J152" i="1"/>
  <c r="K152" i="1" s="1"/>
  <c r="H152" i="1"/>
  <c r="I152" i="1" s="1"/>
  <c r="J151" i="1"/>
  <c r="K151" i="1" s="1"/>
  <c r="H151" i="1"/>
  <c r="I151" i="1" s="1"/>
  <c r="J150" i="1"/>
  <c r="K150" i="1" s="1"/>
  <c r="H150" i="1"/>
  <c r="I150" i="1" s="1"/>
  <c r="J149" i="1"/>
  <c r="K149" i="1" s="1"/>
  <c r="H149" i="1"/>
  <c r="I149" i="1" s="1"/>
  <c r="J148" i="1"/>
  <c r="K148" i="1" s="1"/>
  <c r="H148" i="1"/>
  <c r="I148" i="1" s="1"/>
  <c r="J147" i="1"/>
  <c r="K147" i="1" s="1"/>
  <c r="H147" i="1"/>
  <c r="I147" i="1" s="1"/>
  <c r="J146" i="1"/>
  <c r="K146" i="1" s="1"/>
  <c r="H146" i="1"/>
  <c r="I146" i="1" s="1"/>
  <c r="J145" i="1"/>
  <c r="K145" i="1" s="1"/>
  <c r="H145" i="1"/>
  <c r="I145" i="1" s="1"/>
  <c r="J144" i="1"/>
  <c r="K144" i="1" s="1"/>
  <c r="H144" i="1"/>
  <c r="I144" i="1" s="1"/>
  <c r="J143" i="1"/>
  <c r="K143" i="1" s="1"/>
  <c r="H143" i="1"/>
  <c r="I143" i="1" s="1"/>
  <c r="J142" i="1"/>
  <c r="K142" i="1" s="1"/>
  <c r="H142" i="1"/>
  <c r="I142" i="1" s="1"/>
  <c r="J141" i="1"/>
  <c r="K141" i="1" s="1"/>
  <c r="H141" i="1"/>
  <c r="I141" i="1" s="1"/>
  <c r="J140" i="1"/>
  <c r="K140" i="1" s="1"/>
  <c r="H140" i="1"/>
  <c r="I140" i="1" s="1"/>
  <c r="J139" i="1"/>
  <c r="K139" i="1" s="1"/>
  <c r="H139" i="1"/>
  <c r="I139" i="1" s="1"/>
  <c r="J138" i="1"/>
  <c r="K138" i="1" s="1"/>
  <c r="H138" i="1"/>
  <c r="I138" i="1" s="1"/>
  <c r="J137" i="1"/>
  <c r="K137" i="1" s="1"/>
  <c r="H137" i="1"/>
  <c r="I137" i="1" s="1"/>
  <c r="J136" i="1"/>
  <c r="K136" i="1" s="1"/>
  <c r="H136" i="1"/>
  <c r="I136" i="1" s="1"/>
  <c r="J135" i="1"/>
  <c r="K135" i="1" s="1"/>
  <c r="H135" i="1"/>
  <c r="I135" i="1" s="1"/>
  <c r="J134" i="1"/>
  <c r="K134" i="1" s="1"/>
  <c r="H134" i="1"/>
  <c r="I134" i="1" s="1"/>
  <c r="J133" i="1"/>
  <c r="K133" i="1" s="1"/>
  <c r="H133" i="1"/>
  <c r="I133" i="1" s="1"/>
  <c r="J132" i="1"/>
  <c r="K132" i="1" s="1"/>
  <c r="H132" i="1"/>
  <c r="I132" i="1" s="1"/>
  <c r="J131" i="1"/>
  <c r="K131" i="1" s="1"/>
  <c r="H131" i="1"/>
  <c r="I131" i="1" s="1"/>
  <c r="J130" i="1"/>
  <c r="K130" i="1" s="1"/>
  <c r="H130" i="1"/>
  <c r="I130" i="1" s="1"/>
  <c r="J129" i="1"/>
  <c r="K129" i="1" s="1"/>
  <c r="H129" i="1"/>
  <c r="I129" i="1" s="1"/>
  <c r="J128" i="1"/>
  <c r="K128" i="1" s="1"/>
  <c r="H128" i="1"/>
  <c r="I128" i="1" s="1"/>
  <c r="J127" i="1"/>
  <c r="K127" i="1" s="1"/>
  <c r="H127" i="1"/>
  <c r="I127" i="1" s="1"/>
  <c r="J126" i="1"/>
  <c r="K126" i="1" s="1"/>
  <c r="H126" i="1"/>
  <c r="I126" i="1" s="1"/>
  <c r="J125" i="1"/>
  <c r="K125" i="1" s="1"/>
  <c r="H125" i="1"/>
  <c r="I125" i="1" s="1"/>
  <c r="J124" i="1"/>
  <c r="K124" i="1" s="1"/>
  <c r="H124" i="1"/>
  <c r="I124" i="1" s="1"/>
  <c r="J123" i="1"/>
  <c r="K123" i="1" s="1"/>
  <c r="H123" i="1"/>
  <c r="I123" i="1" s="1"/>
  <c r="J122" i="1"/>
  <c r="K122" i="1" s="1"/>
  <c r="H122" i="1"/>
  <c r="I122" i="1" s="1"/>
  <c r="J121" i="1"/>
  <c r="K121" i="1" s="1"/>
  <c r="H121" i="1"/>
  <c r="I121" i="1" s="1"/>
  <c r="J120" i="1"/>
  <c r="K120" i="1" s="1"/>
  <c r="H120" i="1"/>
  <c r="I120" i="1" s="1"/>
  <c r="J119" i="1"/>
  <c r="K119" i="1" s="1"/>
  <c r="H119" i="1"/>
  <c r="I119" i="1" s="1"/>
  <c r="J118" i="1"/>
  <c r="K118" i="1" s="1"/>
  <c r="H118" i="1"/>
  <c r="I118" i="1" s="1"/>
  <c r="J117" i="1"/>
  <c r="K117" i="1" s="1"/>
  <c r="H117" i="1"/>
  <c r="I117" i="1" s="1"/>
  <c r="J116" i="1"/>
  <c r="K116" i="1" s="1"/>
  <c r="H116" i="1"/>
  <c r="I116" i="1" s="1"/>
  <c r="J115" i="1"/>
  <c r="K115" i="1" s="1"/>
  <c r="H115" i="1"/>
  <c r="I115" i="1" s="1"/>
  <c r="J114" i="1"/>
  <c r="K114" i="1" s="1"/>
  <c r="H114" i="1"/>
  <c r="I114" i="1" s="1"/>
  <c r="J113" i="1"/>
  <c r="K113" i="1" s="1"/>
  <c r="H113" i="1"/>
  <c r="I113" i="1" s="1"/>
  <c r="J112" i="1"/>
  <c r="K112" i="1" s="1"/>
  <c r="H112" i="1"/>
  <c r="I112" i="1" s="1"/>
  <c r="J111" i="1"/>
  <c r="K111" i="1" s="1"/>
  <c r="H111" i="1"/>
  <c r="I111" i="1" s="1"/>
  <c r="J110" i="1"/>
  <c r="K110" i="1" s="1"/>
  <c r="H110" i="1"/>
  <c r="I110" i="1" s="1"/>
  <c r="J109" i="1"/>
  <c r="K109" i="1" s="1"/>
  <c r="H109" i="1"/>
  <c r="I109" i="1" s="1"/>
  <c r="J108" i="1"/>
  <c r="K108" i="1" s="1"/>
  <c r="H108" i="1"/>
  <c r="I108" i="1" s="1"/>
  <c r="J107" i="1"/>
  <c r="K107" i="1" s="1"/>
  <c r="H107" i="1"/>
  <c r="I107" i="1" s="1"/>
  <c r="J106" i="1"/>
  <c r="K106" i="1" s="1"/>
  <c r="H106" i="1"/>
  <c r="I106" i="1" s="1"/>
  <c r="J105" i="1"/>
  <c r="K105" i="1" s="1"/>
  <c r="H105" i="1"/>
  <c r="I105" i="1" s="1"/>
  <c r="J104" i="1"/>
  <c r="K104" i="1" s="1"/>
  <c r="H104" i="1"/>
  <c r="I104" i="1" s="1"/>
  <c r="J103" i="1"/>
  <c r="K103" i="1" s="1"/>
  <c r="H103" i="1"/>
  <c r="I103" i="1" s="1"/>
  <c r="J102" i="1"/>
  <c r="K102" i="1" s="1"/>
  <c r="H102" i="1"/>
  <c r="I102" i="1" s="1"/>
  <c r="J101" i="1"/>
  <c r="K101" i="1" s="1"/>
  <c r="H101" i="1"/>
  <c r="I101" i="1" s="1"/>
  <c r="J100" i="1"/>
  <c r="K100" i="1" s="1"/>
  <c r="H100" i="1"/>
  <c r="I100" i="1" s="1"/>
  <c r="J99" i="1"/>
  <c r="K99" i="1" s="1"/>
  <c r="H99" i="1"/>
  <c r="I99" i="1" s="1"/>
  <c r="J98" i="1"/>
  <c r="K98" i="1" s="1"/>
  <c r="H98" i="1"/>
  <c r="I98" i="1" s="1"/>
  <c r="J97" i="1"/>
  <c r="K97" i="1" s="1"/>
  <c r="H97" i="1"/>
  <c r="I97" i="1" s="1"/>
  <c r="J96" i="1"/>
  <c r="K96" i="1" s="1"/>
  <c r="H96" i="1"/>
  <c r="I96" i="1" s="1"/>
  <c r="J95" i="1"/>
  <c r="K95" i="1" s="1"/>
  <c r="H95" i="1"/>
  <c r="I95" i="1" s="1"/>
  <c r="J94" i="1"/>
  <c r="K94" i="1" s="1"/>
  <c r="H94" i="1"/>
  <c r="I94" i="1" s="1"/>
  <c r="J93" i="1"/>
  <c r="K93" i="1" s="1"/>
  <c r="H93" i="1"/>
  <c r="I93" i="1" s="1"/>
  <c r="J92" i="1"/>
  <c r="K92" i="1" s="1"/>
  <c r="H92" i="1"/>
  <c r="I92" i="1" s="1"/>
  <c r="J91" i="1"/>
  <c r="K91" i="1" s="1"/>
  <c r="H91" i="1"/>
  <c r="I91" i="1" s="1"/>
  <c r="J90" i="1"/>
  <c r="K90" i="1" s="1"/>
  <c r="H90" i="1"/>
  <c r="I90" i="1" s="1"/>
  <c r="J89" i="1"/>
  <c r="K89" i="1" s="1"/>
  <c r="H89" i="1"/>
  <c r="I89" i="1" s="1"/>
  <c r="J88" i="1"/>
  <c r="K88" i="1" s="1"/>
  <c r="H88" i="1"/>
  <c r="I88" i="1" s="1"/>
  <c r="J87" i="1"/>
  <c r="K87" i="1" s="1"/>
  <c r="H87" i="1"/>
  <c r="I87" i="1" s="1"/>
  <c r="J86" i="1"/>
  <c r="K86" i="1" s="1"/>
  <c r="H86" i="1"/>
  <c r="I86" i="1" s="1"/>
  <c r="J85" i="1"/>
  <c r="K85" i="1" s="1"/>
  <c r="H85" i="1"/>
  <c r="I85" i="1" s="1"/>
  <c r="J84" i="1"/>
  <c r="K84" i="1" s="1"/>
  <c r="H84" i="1"/>
  <c r="I84" i="1" s="1"/>
  <c r="J83" i="1"/>
  <c r="K83" i="1" s="1"/>
  <c r="H83" i="1"/>
  <c r="I83" i="1" s="1"/>
  <c r="J82" i="1"/>
  <c r="K82" i="1" s="1"/>
  <c r="H82" i="1"/>
  <c r="I82" i="1" s="1"/>
  <c r="J81" i="1"/>
  <c r="K81" i="1" s="1"/>
  <c r="H81" i="1"/>
  <c r="I81" i="1" s="1"/>
  <c r="J80" i="1"/>
  <c r="K80" i="1" s="1"/>
  <c r="H80" i="1"/>
  <c r="I80" i="1" s="1"/>
  <c r="J79" i="1"/>
  <c r="K79" i="1" s="1"/>
  <c r="H79" i="1"/>
  <c r="I79" i="1" s="1"/>
  <c r="J78" i="1"/>
  <c r="K78" i="1" s="1"/>
  <c r="H78" i="1"/>
  <c r="I78" i="1" s="1"/>
  <c r="J77" i="1"/>
  <c r="K77" i="1" s="1"/>
  <c r="H77" i="1"/>
  <c r="I77" i="1" s="1"/>
  <c r="J76" i="1"/>
  <c r="K76" i="1" s="1"/>
  <c r="H76" i="1"/>
  <c r="I76" i="1" s="1"/>
  <c r="J75" i="1"/>
  <c r="K75" i="1" s="1"/>
  <c r="H75" i="1"/>
  <c r="I75" i="1" s="1"/>
  <c r="J74" i="1"/>
  <c r="K74" i="1" s="1"/>
  <c r="H74" i="1"/>
  <c r="I74" i="1" s="1"/>
  <c r="J73" i="1"/>
  <c r="K73" i="1" s="1"/>
  <c r="H73" i="1"/>
  <c r="I73" i="1" s="1"/>
  <c r="J72" i="1"/>
  <c r="K72" i="1" s="1"/>
  <c r="H72" i="1"/>
  <c r="I72" i="1" s="1"/>
  <c r="J71" i="1"/>
  <c r="K71" i="1" s="1"/>
  <c r="H71" i="1"/>
  <c r="I71" i="1" s="1"/>
  <c r="J70" i="1"/>
  <c r="K70" i="1" s="1"/>
  <c r="H70" i="1"/>
  <c r="I70" i="1" s="1"/>
  <c r="J69" i="1"/>
  <c r="K69" i="1" s="1"/>
  <c r="H69" i="1"/>
  <c r="I69" i="1" s="1"/>
  <c r="J68" i="1"/>
  <c r="K68" i="1" s="1"/>
  <c r="H68" i="1"/>
  <c r="I68" i="1" s="1"/>
  <c r="J67" i="1"/>
  <c r="K67" i="1" s="1"/>
  <c r="H67" i="1"/>
  <c r="I67" i="1" s="1"/>
  <c r="J66" i="1"/>
  <c r="K66" i="1" s="1"/>
  <c r="H66" i="1"/>
  <c r="I66" i="1" s="1"/>
  <c r="J65" i="1"/>
  <c r="K65" i="1" s="1"/>
  <c r="H65" i="1"/>
  <c r="I65" i="1" s="1"/>
  <c r="J64" i="1"/>
  <c r="K64" i="1" s="1"/>
  <c r="H64" i="1"/>
  <c r="I64" i="1" s="1"/>
  <c r="J63" i="1"/>
  <c r="K63" i="1" s="1"/>
  <c r="H63" i="1"/>
  <c r="I63" i="1" s="1"/>
  <c r="J62" i="1"/>
  <c r="K62" i="1" s="1"/>
  <c r="H62" i="1"/>
  <c r="I62" i="1" s="1"/>
  <c r="J61" i="1"/>
  <c r="K61" i="1" s="1"/>
  <c r="H61" i="1"/>
  <c r="I61" i="1" s="1"/>
  <c r="J60" i="1"/>
  <c r="K60" i="1" s="1"/>
  <c r="H60" i="1"/>
  <c r="I60" i="1" s="1"/>
  <c r="J59" i="1"/>
  <c r="K59" i="1" s="1"/>
  <c r="H59" i="1"/>
  <c r="I59" i="1" s="1"/>
  <c r="J58" i="1"/>
  <c r="K58" i="1" s="1"/>
  <c r="H58" i="1"/>
  <c r="I58" i="1" s="1"/>
  <c r="J57" i="1"/>
  <c r="K57" i="1" s="1"/>
  <c r="H57" i="1"/>
  <c r="I57" i="1" s="1"/>
  <c r="J56" i="1"/>
  <c r="K56" i="1" s="1"/>
  <c r="H56" i="1"/>
  <c r="I56" i="1" s="1"/>
  <c r="J55" i="1"/>
  <c r="K55" i="1" s="1"/>
  <c r="H55" i="1"/>
  <c r="I55" i="1" s="1"/>
  <c r="J54" i="1"/>
  <c r="K54" i="1" s="1"/>
  <c r="H54" i="1"/>
  <c r="I54" i="1" s="1"/>
  <c r="J53" i="1"/>
  <c r="K53" i="1" s="1"/>
  <c r="H53" i="1"/>
  <c r="I53" i="1" s="1"/>
  <c r="J52" i="1"/>
  <c r="K52" i="1" s="1"/>
  <c r="H52" i="1"/>
  <c r="I52" i="1" s="1"/>
  <c r="J51" i="1"/>
  <c r="K51" i="1" s="1"/>
  <c r="H51" i="1"/>
  <c r="I51" i="1" s="1"/>
  <c r="J50" i="1"/>
  <c r="K50" i="1" s="1"/>
  <c r="H50" i="1"/>
  <c r="I50" i="1" s="1"/>
  <c r="J49" i="1"/>
  <c r="K49" i="1" s="1"/>
  <c r="H49" i="1"/>
  <c r="I49" i="1" s="1"/>
  <c r="J48" i="1"/>
  <c r="K48" i="1" s="1"/>
  <c r="H48" i="1"/>
  <c r="I48" i="1" s="1"/>
  <c r="J47" i="1"/>
  <c r="K47" i="1" s="1"/>
  <c r="H47" i="1"/>
  <c r="I47" i="1" s="1"/>
  <c r="J46" i="1"/>
  <c r="K46" i="1" s="1"/>
  <c r="H46" i="1"/>
  <c r="I46" i="1" s="1"/>
  <c r="J45" i="1"/>
  <c r="K45" i="1" s="1"/>
  <c r="H45" i="1"/>
  <c r="I45" i="1" s="1"/>
  <c r="J44" i="1"/>
  <c r="K44" i="1" s="1"/>
  <c r="H44" i="1"/>
  <c r="I44" i="1" s="1"/>
  <c r="J43" i="1"/>
  <c r="K43" i="1" s="1"/>
  <c r="H43" i="1"/>
  <c r="I43" i="1" s="1"/>
  <c r="J42" i="1"/>
  <c r="K42" i="1" s="1"/>
  <c r="H42" i="1"/>
  <c r="I42" i="1" s="1"/>
  <c r="J41" i="1"/>
  <c r="K41" i="1" s="1"/>
  <c r="H41" i="1"/>
  <c r="I41" i="1" s="1"/>
  <c r="J40" i="1"/>
  <c r="K40" i="1" s="1"/>
  <c r="H40" i="1"/>
  <c r="I40" i="1" s="1"/>
  <c r="J39" i="1"/>
  <c r="K39" i="1" s="1"/>
  <c r="H39" i="1"/>
  <c r="I39" i="1" s="1"/>
  <c r="J38" i="1"/>
  <c r="K38" i="1" s="1"/>
  <c r="H38" i="1"/>
  <c r="I38" i="1" s="1"/>
  <c r="J37" i="1"/>
  <c r="K37" i="1" s="1"/>
  <c r="H37" i="1"/>
  <c r="I37" i="1" s="1"/>
  <c r="J36" i="1"/>
  <c r="K36" i="1" s="1"/>
  <c r="H36" i="1"/>
  <c r="I36" i="1" s="1"/>
  <c r="J35" i="1"/>
  <c r="K35" i="1" s="1"/>
  <c r="H35" i="1"/>
  <c r="I35" i="1" s="1"/>
  <c r="J34" i="1"/>
  <c r="K34" i="1" s="1"/>
  <c r="H34" i="1"/>
  <c r="I34" i="1" s="1"/>
  <c r="J33" i="1"/>
  <c r="K33" i="1" s="1"/>
  <c r="H33" i="1"/>
  <c r="I33" i="1" s="1"/>
  <c r="J32" i="1"/>
  <c r="K32" i="1" s="1"/>
  <c r="H32" i="1"/>
  <c r="I32" i="1" s="1"/>
  <c r="J31" i="1"/>
  <c r="K31" i="1" s="1"/>
  <c r="H31" i="1"/>
  <c r="I31" i="1" s="1"/>
  <c r="J30" i="1"/>
  <c r="K30" i="1" s="1"/>
  <c r="H30" i="1"/>
  <c r="I30" i="1" s="1"/>
  <c r="J29" i="1"/>
  <c r="K29" i="1" s="1"/>
  <c r="H29" i="1"/>
  <c r="I29" i="1" s="1"/>
  <c r="J28" i="1"/>
  <c r="K28" i="1" s="1"/>
  <c r="H28" i="1"/>
  <c r="I28" i="1" s="1"/>
  <c r="J27" i="1"/>
  <c r="K27" i="1" s="1"/>
  <c r="H27" i="1"/>
  <c r="I27" i="1" s="1"/>
  <c r="J26" i="1"/>
  <c r="K26" i="1" s="1"/>
  <c r="H26" i="1"/>
  <c r="I26" i="1" s="1"/>
  <c r="J25" i="1"/>
  <c r="K25" i="1" s="1"/>
  <c r="H25" i="1"/>
  <c r="I25" i="1" s="1"/>
  <c r="J24" i="1"/>
  <c r="K24" i="1" s="1"/>
  <c r="H24" i="1"/>
  <c r="I24" i="1" s="1"/>
  <c r="J23" i="1"/>
  <c r="K23" i="1" s="1"/>
  <c r="H23" i="1"/>
  <c r="I23" i="1" s="1"/>
  <c r="J22" i="1"/>
  <c r="K22" i="1" s="1"/>
  <c r="H22" i="1"/>
  <c r="I22" i="1" s="1"/>
  <c r="J21" i="1"/>
  <c r="K21" i="1" s="1"/>
  <c r="H21" i="1"/>
  <c r="I21" i="1" s="1"/>
  <c r="J20" i="1"/>
  <c r="K20" i="1" s="1"/>
  <c r="H20" i="1"/>
  <c r="I20" i="1" s="1"/>
  <c r="J19" i="1"/>
  <c r="K19" i="1" s="1"/>
  <c r="H19" i="1"/>
  <c r="I19" i="1" s="1"/>
  <c r="J18" i="1"/>
  <c r="K18" i="1" s="1"/>
  <c r="H18" i="1"/>
  <c r="I18" i="1" s="1"/>
  <c r="J17" i="1"/>
  <c r="K17" i="1" s="1"/>
  <c r="H17" i="1"/>
  <c r="I17" i="1" s="1"/>
  <c r="J16" i="1"/>
  <c r="K16" i="1" s="1"/>
  <c r="H16" i="1"/>
  <c r="I16" i="1" s="1"/>
  <c r="J15" i="1"/>
  <c r="K15" i="1" s="1"/>
  <c r="H15" i="1"/>
  <c r="I15" i="1" s="1"/>
  <c r="J14" i="1"/>
  <c r="K14" i="1" s="1"/>
  <c r="H14" i="1"/>
  <c r="I14" i="1" s="1"/>
  <c r="J13" i="1"/>
  <c r="K13" i="1" s="1"/>
  <c r="H13" i="1"/>
  <c r="I13" i="1" s="1"/>
  <c r="J12" i="1"/>
  <c r="K12" i="1" s="1"/>
  <c r="H12" i="1"/>
  <c r="I12" i="1" s="1"/>
  <c r="J11" i="1"/>
  <c r="K11" i="1" s="1"/>
  <c r="H11" i="1"/>
  <c r="I11" i="1" s="1"/>
  <c r="J10" i="1"/>
  <c r="K10" i="1" s="1"/>
  <c r="H10" i="1"/>
  <c r="I10" i="1" s="1"/>
  <c r="J9" i="1"/>
  <c r="K9" i="1" s="1"/>
  <c r="H9" i="1"/>
  <c r="I9" i="1" s="1"/>
  <c r="J8" i="1"/>
  <c r="K8" i="1" s="1"/>
  <c r="H8" i="1"/>
  <c r="I8" i="1" s="1"/>
  <c r="J7" i="1"/>
  <c r="K7" i="1" s="1"/>
  <c r="H7" i="1"/>
  <c r="I7" i="1" s="1"/>
  <c r="J6" i="1"/>
  <c r="K6" i="1" s="1"/>
  <c r="H6" i="1"/>
  <c r="I6" i="1" s="1"/>
  <c r="B2" i="1"/>
  <c r="B3" i="1" s="1"/>
  <c r="M6" i="1" l="1"/>
  <c r="L6" i="1"/>
  <c r="M7" i="1"/>
  <c r="L7" i="1"/>
  <c r="M8" i="1"/>
  <c r="L8" i="1"/>
  <c r="M9" i="1"/>
  <c r="L9" i="1"/>
  <c r="M10" i="1"/>
  <c r="L10" i="1"/>
  <c r="M11" i="1"/>
  <c r="L11" i="1"/>
  <c r="M12" i="1"/>
  <c r="L12" i="1"/>
  <c r="M13" i="1"/>
  <c r="L13" i="1"/>
  <c r="M14" i="1"/>
  <c r="L14" i="1"/>
  <c r="M15" i="1"/>
  <c r="L15" i="1"/>
  <c r="M16" i="1"/>
  <c r="L16" i="1"/>
  <c r="M17" i="1"/>
  <c r="L17" i="1"/>
  <c r="M18" i="1"/>
  <c r="L18" i="1"/>
  <c r="M19" i="1"/>
  <c r="L19" i="1"/>
  <c r="M20" i="1"/>
  <c r="L20" i="1"/>
  <c r="M21" i="1"/>
  <c r="L21" i="1"/>
  <c r="M22" i="1"/>
  <c r="L22" i="1"/>
  <c r="M23" i="1"/>
  <c r="L23" i="1"/>
  <c r="M24" i="1"/>
  <c r="L24" i="1"/>
  <c r="M25" i="1"/>
  <c r="L25" i="1"/>
  <c r="M26" i="1"/>
  <c r="L26" i="1"/>
  <c r="M27" i="1"/>
  <c r="L27" i="1"/>
  <c r="M28" i="1"/>
  <c r="L28" i="1"/>
  <c r="M29" i="1"/>
  <c r="L29" i="1"/>
  <c r="M30" i="1"/>
  <c r="L30" i="1"/>
  <c r="M31" i="1"/>
  <c r="L31" i="1"/>
  <c r="M32" i="1"/>
  <c r="L32" i="1"/>
  <c r="M33" i="1"/>
  <c r="L33" i="1"/>
  <c r="M34" i="1"/>
  <c r="L34" i="1"/>
  <c r="M35" i="1"/>
  <c r="L35" i="1"/>
  <c r="M36" i="1"/>
  <c r="L36" i="1"/>
  <c r="M37" i="1"/>
  <c r="L37" i="1"/>
  <c r="M38" i="1"/>
  <c r="L38" i="1"/>
  <c r="M39" i="1"/>
  <c r="L39" i="1"/>
  <c r="M40" i="1"/>
  <c r="L40" i="1"/>
  <c r="M41" i="1"/>
  <c r="L41" i="1"/>
  <c r="M42" i="1"/>
  <c r="L42" i="1"/>
  <c r="M43" i="1"/>
  <c r="L43" i="1"/>
  <c r="M44" i="1"/>
  <c r="L44" i="1"/>
  <c r="M45" i="1"/>
  <c r="L45" i="1"/>
  <c r="M46" i="1"/>
  <c r="L46" i="1"/>
  <c r="M47" i="1"/>
  <c r="L47" i="1"/>
  <c r="M48" i="1"/>
  <c r="L48" i="1"/>
  <c r="M49" i="1"/>
  <c r="L49" i="1"/>
  <c r="M50" i="1"/>
  <c r="L50" i="1"/>
  <c r="M51" i="1"/>
  <c r="L51" i="1"/>
  <c r="M52" i="1"/>
  <c r="L52" i="1"/>
  <c r="M53" i="1"/>
  <c r="L53" i="1"/>
  <c r="M54" i="1"/>
  <c r="L54" i="1"/>
  <c r="M55" i="1"/>
  <c r="L55" i="1"/>
  <c r="M56" i="1"/>
  <c r="L56" i="1"/>
  <c r="M57" i="1"/>
  <c r="L57" i="1"/>
  <c r="M58" i="1"/>
  <c r="L58" i="1"/>
  <c r="M59" i="1"/>
  <c r="L59" i="1"/>
  <c r="M60" i="1"/>
  <c r="L60" i="1"/>
  <c r="M61" i="1"/>
  <c r="L61" i="1"/>
  <c r="M62" i="1"/>
  <c r="L62" i="1"/>
  <c r="M63" i="1"/>
  <c r="L63" i="1"/>
  <c r="M64" i="1"/>
  <c r="L64" i="1"/>
  <c r="M65" i="1"/>
  <c r="L65" i="1"/>
  <c r="M66" i="1"/>
  <c r="L66" i="1"/>
  <c r="M67" i="1"/>
  <c r="L67" i="1"/>
  <c r="M68" i="1"/>
  <c r="L68" i="1"/>
  <c r="M69" i="1"/>
  <c r="L69" i="1"/>
  <c r="M70" i="1"/>
  <c r="L70" i="1"/>
  <c r="M71" i="1"/>
  <c r="L71" i="1"/>
  <c r="M72" i="1"/>
  <c r="L72" i="1"/>
  <c r="M73" i="1"/>
  <c r="L73" i="1"/>
  <c r="M74" i="1"/>
  <c r="L74" i="1"/>
  <c r="M75" i="1"/>
  <c r="L75" i="1"/>
  <c r="M76" i="1"/>
  <c r="L76" i="1"/>
  <c r="M77" i="1"/>
  <c r="L77" i="1"/>
  <c r="M78" i="1"/>
  <c r="L78" i="1"/>
  <c r="M79" i="1"/>
  <c r="L79" i="1"/>
  <c r="M80" i="1"/>
  <c r="L80" i="1"/>
  <c r="M81" i="1"/>
  <c r="L81" i="1"/>
  <c r="M82" i="1"/>
  <c r="L82" i="1"/>
  <c r="M83" i="1"/>
  <c r="L83" i="1"/>
  <c r="M84" i="1"/>
  <c r="L84" i="1"/>
  <c r="M85" i="1"/>
  <c r="L85" i="1"/>
  <c r="M86" i="1"/>
  <c r="L86" i="1"/>
  <c r="M87" i="1"/>
  <c r="L87" i="1"/>
  <c r="M88" i="1"/>
  <c r="L88" i="1"/>
  <c r="M89" i="1"/>
  <c r="L89" i="1"/>
  <c r="M90" i="1"/>
  <c r="L90" i="1"/>
  <c r="M91" i="1"/>
  <c r="L91" i="1"/>
  <c r="M92" i="1"/>
  <c r="L92" i="1"/>
  <c r="M93" i="1"/>
  <c r="L93" i="1"/>
  <c r="M94" i="1"/>
  <c r="L94" i="1"/>
  <c r="M95" i="1"/>
  <c r="L95" i="1"/>
  <c r="M96" i="1"/>
  <c r="L96" i="1"/>
  <c r="M97" i="1"/>
  <c r="L97" i="1"/>
  <c r="M98" i="1"/>
  <c r="L98" i="1"/>
  <c r="M99" i="1"/>
  <c r="L99" i="1"/>
  <c r="M100" i="1"/>
  <c r="L100" i="1"/>
  <c r="M101" i="1"/>
  <c r="L101" i="1"/>
  <c r="M102" i="1"/>
  <c r="L102" i="1"/>
  <c r="M103" i="1"/>
  <c r="L103" i="1"/>
  <c r="M104" i="1"/>
  <c r="L104" i="1"/>
  <c r="M105" i="1"/>
  <c r="L105" i="1"/>
  <c r="M106" i="1"/>
  <c r="L106" i="1"/>
  <c r="M107" i="1"/>
  <c r="L107" i="1"/>
  <c r="M108" i="1"/>
  <c r="L108" i="1"/>
  <c r="M109" i="1"/>
  <c r="L109" i="1"/>
  <c r="M110" i="1"/>
  <c r="L110" i="1"/>
  <c r="M111" i="1"/>
  <c r="L111" i="1"/>
  <c r="M112" i="1"/>
  <c r="L112" i="1"/>
  <c r="M113" i="1"/>
  <c r="L113" i="1"/>
  <c r="M114" i="1"/>
  <c r="L114" i="1"/>
  <c r="M115" i="1"/>
  <c r="L115" i="1"/>
  <c r="M116" i="1"/>
  <c r="L116" i="1"/>
  <c r="M117" i="1"/>
  <c r="L117" i="1"/>
  <c r="M118" i="1"/>
  <c r="L118" i="1"/>
  <c r="M119" i="1"/>
  <c r="L119" i="1"/>
  <c r="M120" i="1"/>
  <c r="L120" i="1"/>
  <c r="M121" i="1"/>
  <c r="L121" i="1"/>
  <c r="M122" i="1"/>
  <c r="L122" i="1"/>
  <c r="M123" i="1"/>
  <c r="L123" i="1"/>
  <c r="M124" i="1"/>
  <c r="L124" i="1"/>
  <c r="M125" i="1"/>
  <c r="L125" i="1"/>
  <c r="M126" i="1"/>
  <c r="L126" i="1"/>
  <c r="M127" i="1"/>
  <c r="L127" i="1"/>
  <c r="M128" i="1"/>
  <c r="L128" i="1"/>
  <c r="M129" i="1"/>
  <c r="L129" i="1"/>
  <c r="M130" i="1"/>
  <c r="L130" i="1"/>
  <c r="M131" i="1"/>
  <c r="L131" i="1"/>
  <c r="M132" i="1"/>
  <c r="L132" i="1"/>
  <c r="M133" i="1"/>
  <c r="L133" i="1"/>
  <c r="M134" i="1"/>
  <c r="L134" i="1"/>
  <c r="M135" i="1"/>
  <c r="L135" i="1"/>
  <c r="M136" i="1"/>
  <c r="L136" i="1"/>
  <c r="M137" i="1"/>
  <c r="L137" i="1"/>
  <c r="M138" i="1"/>
  <c r="L138" i="1"/>
  <c r="M139" i="1"/>
  <c r="L139" i="1"/>
  <c r="M140" i="1"/>
  <c r="L140" i="1"/>
  <c r="M141" i="1"/>
  <c r="L141" i="1"/>
  <c r="M142" i="1"/>
  <c r="L142" i="1"/>
  <c r="M143" i="1"/>
  <c r="L143" i="1"/>
  <c r="M144" i="1"/>
  <c r="L144" i="1"/>
  <c r="M145" i="1"/>
  <c r="L145" i="1"/>
  <c r="M146" i="1"/>
  <c r="L146" i="1"/>
  <c r="M147" i="1"/>
  <c r="L147" i="1"/>
  <c r="M148" i="1"/>
  <c r="L148" i="1"/>
  <c r="M149" i="1"/>
  <c r="L149" i="1"/>
  <c r="M150" i="1"/>
  <c r="L150" i="1"/>
  <c r="M151" i="1"/>
  <c r="L151" i="1"/>
  <c r="M152" i="1"/>
  <c r="L152" i="1"/>
  <c r="M153" i="1"/>
  <c r="L153" i="1"/>
  <c r="M154" i="1"/>
  <c r="L154" i="1"/>
  <c r="M155" i="1"/>
  <c r="L155" i="1"/>
  <c r="M156" i="1"/>
  <c r="L156" i="1"/>
  <c r="M157" i="1"/>
  <c r="L157" i="1"/>
  <c r="M158" i="1"/>
  <c r="L158" i="1"/>
  <c r="M159" i="1"/>
  <c r="L159" i="1"/>
  <c r="M160" i="1"/>
  <c r="L160" i="1"/>
  <c r="M161" i="1"/>
  <c r="L161" i="1"/>
  <c r="M162" i="1"/>
  <c r="L162" i="1"/>
  <c r="M163" i="1"/>
  <c r="L163" i="1"/>
  <c r="M164" i="1"/>
  <c r="L164" i="1"/>
  <c r="M165" i="1"/>
  <c r="L165" i="1"/>
  <c r="M166" i="1"/>
  <c r="L166" i="1"/>
  <c r="M167" i="1"/>
  <c r="L167" i="1"/>
  <c r="M168" i="1"/>
  <c r="L168" i="1"/>
  <c r="M169" i="1"/>
  <c r="L169" i="1"/>
  <c r="M170" i="1"/>
  <c r="L170" i="1"/>
  <c r="M171" i="1"/>
  <c r="L171" i="1"/>
  <c r="M172" i="1"/>
  <c r="L172" i="1"/>
  <c r="M173" i="1"/>
  <c r="L173" i="1"/>
  <c r="M174" i="1"/>
  <c r="L174" i="1"/>
  <c r="M175" i="1"/>
  <c r="L175" i="1"/>
  <c r="M176" i="1"/>
  <c r="L176" i="1"/>
  <c r="M177" i="1"/>
  <c r="L177" i="1"/>
  <c r="M178" i="1"/>
  <c r="L178" i="1"/>
  <c r="M179" i="1"/>
  <c r="L179" i="1"/>
  <c r="M180" i="1"/>
  <c r="L180" i="1"/>
  <c r="M181" i="1"/>
  <c r="L181" i="1"/>
  <c r="M182" i="1"/>
  <c r="L182" i="1"/>
  <c r="M183" i="1"/>
  <c r="L183" i="1"/>
  <c r="M184" i="1"/>
  <c r="L184" i="1"/>
  <c r="M185" i="1"/>
  <c r="L185" i="1"/>
  <c r="M186" i="1"/>
  <c r="L186" i="1"/>
  <c r="M187" i="1"/>
  <c r="L187" i="1"/>
  <c r="M188" i="1"/>
  <c r="L188" i="1"/>
  <c r="M189" i="1"/>
  <c r="L189" i="1"/>
  <c r="M190" i="1"/>
  <c r="L190" i="1"/>
  <c r="M191" i="1"/>
  <c r="L191" i="1"/>
  <c r="M192" i="1"/>
  <c r="L192" i="1"/>
  <c r="M193" i="1"/>
  <c r="L193" i="1"/>
  <c r="M194" i="1"/>
  <c r="L194" i="1"/>
  <c r="M195" i="1"/>
  <c r="L195" i="1"/>
  <c r="M196" i="1"/>
  <c r="L196" i="1"/>
  <c r="M197" i="1"/>
  <c r="L197" i="1"/>
  <c r="M198" i="1"/>
  <c r="L198" i="1"/>
  <c r="M199" i="1"/>
  <c r="L199" i="1"/>
  <c r="M200" i="1"/>
  <c r="L200" i="1"/>
  <c r="M201" i="1"/>
  <c r="L201" i="1"/>
  <c r="M202" i="1"/>
  <c r="L202" i="1"/>
  <c r="M203" i="1"/>
  <c r="L203" i="1"/>
  <c r="M204" i="1"/>
  <c r="L204" i="1"/>
  <c r="M205" i="1"/>
  <c r="L205" i="1"/>
  <c r="M206" i="1"/>
  <c r="L206" i="1"/>
  <c r="M207" i="1"/>
  <c r="L207" i="1"/>
  <c r="M208" i="1"/>
  <c r="L208" i="1"/>
  <c r="M209" i="1"/>
  <c r="L209" i="1"/>
  <c r="M210" i="1"/>
  <c r="L210" i="1"/>
  <c r="M211" i="1"/>
  <c r="L211" i="1"/>
  <c r="M212" i="1"/>
  <c r="L212" i="1"/>
  <c r="M213" i="1"/>
  <c r="L213" i="1"/>
  <c r="M214" i="1"/>
  <c r="L214" i="1"/>
  <c r="M215" i="1"/>
  <c r="L215" i="1"/>
  <c r="M216" i="1"/>
  <c r="L216" i="1"/>
  <c r="M217" i="1"/>
  <c r="L217" i="1"/>
  <c r="M218" i="1"/>
  <c r="L218" i="1"/>
  <c r="M219" i="1"/>
  <c r="L219" i="1"/>
  <c r="M220" i="1"/>
  <c r="L220" i="1"/>
  <c r="M221" i="1"/>
  <c r="L221" i="1"/>
  <c r="M222" i="1"/>
  <c r="L222" i="1"/>
  <c r="M223" i="1"/>
  <c r="L223" i="1"/>
  <c r="M224" i="1"/>
  <c r="L224" i="1"/>
  <c r="M225" i="1"/>
  <c r="L225" i="1"/>
  <c r="M226" i="1"/>
  <c r="L226" i="1"/>
  <c r="M227" i="1"/>
  <c r="L227" i="1"/>
  <c r="M228" i="1"/>
  <c r="L228" i="1"/>
  <c r="M229" i="1"/>
  <c r="L229" i="1"/>
  <c r="M230" i="1"/>
  <c r="L230" i="1"/>
  <c r="M231" i="1"/>
  <c r="L231" i="1"/>
  <c r="M232" i="1"/>
  <c r="L232" i="1"/>
  <c r="M233" i="1"/>
  <c r="L233" i="1"/>
  <c r="M234" i="1"/>
  <c r="L234" i="1"/>
  <c r="M235" i="1"/>
  <c r="L235" i="1"/>
  <c r="M236" i="1"/>
  <c r="L236" i="1"/>
  <c r="M237" i="1"/>
  <c r="L237" i="1"/>
  <c r="M238" i="1"/>
  <c r="L238" i="1"/>
  <c r="M239" i="1"/>
  <c r="L239" i="1"/>
  <c r="M240" i="1"/>
  <c r="L240" i="1"/>
  <c r="M241" i="1"/>
  <c r="L241" i="1"/>
  <c r="M242" i="1"/>
  <c r="L242" i="1"/>
  <c r="M243" i="1"/>
  <c r="L243" i="1"/>
  <c r="M244" i="1"/>
  <c r="L244" i="1"/>
  <c r="M245" i="1"/>
  <c r="L245" i="1"/>
  <c r="M246" i="1"/>
  <c r="L246" i="1"/>
  <c r="M247" i="1"/>
  <c r="L247" i="1"/>
  <c r="M248" i="1"/>
  <c r="L248" i="1"/>
  <c r="M249" i="1"/>
  <c r="L249" i="1"/>
  <c r="M250" i="1"/>
  <c r="L250" i="1"/>
  <c r="M251" i="1"/>
  <c r="L251" i="1"/>
  <c r="M252" i="1"/>
  <c r="L252" i="1"/>
  <c r="M253" i="1"/>
  <c r="L253" i="1"/>
  <c r="M254" i="1"/>
  <c r="L254" i="1"/>
  <c r="M255" i="1"/>
  <c r="L255" i="1"/>
  <c r="M256" i="1"/>
  <c r="L256" i="1"/>
  <c r="M257" i="1"/>
  <c r="L257" i="1"/>
  <c r="M258" i="1"/>
  <c r="L258" i="1"/>
  <c r="M259" i="1"/>
  <c r="L259" i="1"/>
  <c r="M260" i="1"/>
  <c r="L260" i="1"/>
  <c r="M261" i="1"/>
  <c r="L261" i="1"/>
  <c r="M262" i="1"/>
  <c r="L262" i="1"/>
  <c r="M263" i="1"/>
  <c r="L263" i="1"/>
  <c r="M264" i="1"/>
  <c r="L264" i="1"/>
  <c r="M265" i="1"/>
  <c r="L265" i="1"/>
  <c r="M266" i="1"/>
  <c r="L266" i="1"/>
  <c r="M267" i="1"/>
  <c r="L267" i="1"/>
  <c r="M268" i="1"/>
  <c r="L268" i="1"/>
  <c r="M269" i="1"/>
  <c r="L269" i="1"/>
  <c r="M270" i="1"/>
  <c r="L270" i="1"/>
  <c r="M271" i="1"/>
  <c r="L271" i="1"/>
  <c r="M272" i="1"/>
  <c r="L272" i="1"/>
  <c r="M273" i="1"/>
  <c r="L273" i="1"/>
  <c r="M274" i="1"/>
  <c r="L274" i="1"/>
  <c r="M275" i="1"/>
  <c r="L275" i="1"/>
  <c r="M276" i="1"/>
  <c r="L276" i="1"/>
  <c r="M277" i="1"/>
  <c r="L277" i="1"/>
  <c r="M278" i="1"/>
  <c r="L278" i="1"/>
  <c r="M279" i="1"/>
  <c r="L279" i="1"/>
  <c r="M280" i="1"/>
  <c r="L280" i="1"/>
  <c r="M281" i="1"/>
  <c r="L281" i="1"/>
  <c r="M282" i="1"/>
  <c r="L282" i="1"/>
  <c r="M283" i="1"/>
  <c r="L283" i="1"/>
  <c r="M284" i="1"/>
  <c r="L284" i="1"/>
  <c r="M285" i="1"/>
  <c r="L285" i="1"/>
  <c r="M286" i="1"/>
  <c r="L286" i="1"/>
  <c r="M287" i="1"/>
  <c r="L287" i="1"/>
  <c r="M288" i="1"/>
  <c r="L288" i="1"/>
  <c r="M289" i="1"/>
  <c r="L289" i="1"/>
  <c r="M290" i="1"/>
  <c r="L290" i="1"/>
  <c r="M291" i="1"/>
  <c r="L291" i="1"/>
  <c r="M292" i="1"/>
  <c r="L292" i="1"/>
  <c r="M293" i="1"/>
  <c r="L293" i="1"/>
  <c r="M294" i="1"/>
  <c r="L294" i="1"/>
  <c r="M295" i="1"/>
  <c r="L295" i="1"/>
  <c r="M296" i="1"/>
  <c r="L296" i="1"/>
  <c r="M297" i="1"/>
  <c r="L297" i="1"/>
  <c r="M298" i="1"/>
  <c r="L298" i="1"/>
  <c r="M299" i="1"/>
  <c r="L299" i="1"/>
  <c r="M300" i="1"/>
  <c r="L300" i="1"/>
  <c r="M301" i="1"/>
  <c r="L301" i="1"/>
  <c r="M302" i="1"/>
  <c r="L302" i="1"/>
  <c r="M303" i="1"/>
  <c r="L303" i="1"/>
  <c r="M304" i="1"/>
  <c r="L304" i="1"/>
  <c r="M305" i="1"/>
  <c r="L305" i="1"/>
  <c r="M306" i="1"/>
  <c r="L306" i="1"/>
  <c r="M307" i="1"/>
  <c r="L307" i="1"/>
  <c r="M308" i="1"/>
  <c r="L308" i="1"/>
  <c r="M309" i="1"/>
  <c r="L309" i="1"/>
  <c r="M310" i="1"/>
  <c r="L310" i="1"/>
  <c r="M311" i="1"/>
  <c r="L311" i="1"/>
  <c r="M312" i="1"/>
  <c r="L312" i="1"/>
  <c r="M313" i="1"/>
  <c r="L313" i="1"/>
  <c r="M314" i="1"/>
  <c r="L314" i="1"/>
  <c r="M315" i="1"/>
  <c r="L315" i="1"/>
  <c r="M316" i="1"/>
  <c r="L316" i="1"/>
  <c r="M317" i="1"/>
  <c r="L317" i="1"/>
  <c r="M318" i="1"/>
  <c r="L318" i="1"/>
  <c r="M319" i="1"/>
  <c r="L319" i="1"/>
  <c r="M320" i="1"/>
  <c r="L320" i="1"/>
  <c r="M321" i="1"/>
  <c r="L321" i="1"/>
  <c r="M322" i="1"/>
  <c r="L322" i="1"/>
  <c r="M323" i="1"/>
  <c r="L323" i="1"/>
  <c r="M324" i="1"/>
  <c r="L324" i="1"/>
  <c r="M325" i="1"/>
  <c r="L325" i="1"/>
  <c r="M326" i="1"/>
  <c r="L326" i="1"/>
  <c r="M327" i="1"/>
  <c r="L327" i="1"/>
  <c r="M328" i="1"/>
  <c r="L328" i="1"/>
  <c r="M329" i="1"/>
  <c r="L329" i="1"/>
  <c r="M330" i="1"/>
  <c r="L330" i="1"/>
  <c r="M331" i="1"/>
  <c r="L331" i="1"/>
  <c r="M332" i="1"/>
  <c r="L332" i="1"/>
  <c r="M333" i="1"/>
  <c r="L333" i="1"/>
  <c r="M334" i="1"/>
  <c r="L334" i="1"/>
  <c r="M335" i="1"/>
  <c r="L335" i="1"/>
  <c r="M336" i="1"/>
  <c r="L336" i="1"/>
  <c r="M337" i="1"/>
  <c r="L337" i="1"/>
  <c r="M338" i="1"/>
  <c r="L338" i="1"/>
  <c r="M339" i="1"/>
  <c r="L339" i="1"/>
  <c r="M340" i="1"/>
  <c r="L340" i="1"/>
  <c r="M341" i="1"/>
  <c r="L341" i="1"/>
  <c r="M342" i="1"/>
  <c r="L342" i="1"/>
  <c r="M343" i="1"/>
  <c r="L343" i="1"/>
  <c r="M344" i="1"/>
  <c r="L344" i="1"/>
  <c r="M345" i="1"/>
  <c r="L345" i="1"/>
  <c r="M346" i="1"/>
  <c r="L346" i="1"/>
  <c r="M347" i="1"/>
  <c r="L347" i="1"/>
  <c r="M348" i="1"/>
  <c r="L348" i="1"/>
  <c r="M349" i="1"/>
  <c r="L349" i="1"/>
  <c r="M350" i="1"/>
  <c r="L350" i="1"/>
  <c r="M351" i="1"/>
  <c r="L351" i="1"/>
  <c r="M352" i="1"/>
  <c r="L352" i="1"/>
  <c r="M353" i="1"/>
  <c r="L353" i="1"/>
  <c r="M354" i="1"/>
  <c r="L354" i="1"/>
  <c r="M355" i="1"/>
  <c r="L355" i="1"/>
  <c r="M356" i="1"/>
  <c r="L356" i="1"/>
  <c r="M357" i="1"/>
  <c r="L357" i="1"/>
  <c r="M358" i="1"/>
  <c r="L358" i="1"/>
  <c r="M359" i="1"/>
  <c r="L359" i="1"/>
  <c r="M360" i="1"/>
  <c r="L360" i="1"/>
  <c r="M361" i="1"/>
  <c r="L361" i="1"/>
  <c r="M362" i="1"/>
  <c r="L362" i="1"/>
  <c r="M363" i="1"/>
  <c r="L363" i="1"/>
  <c r="M364" i="1"/>
  <c r="L364" i="1"/>
  <c r="M365" i="1"/>
  <c r="L365" i="1"/>
  <c r="M366" i="1"/>
  <c r="L366" i="1"/>
  <c r="M367" i="1"/>
  <c r="L367" i="1"/>
  <c r="M368" i="1"/>
  <c r="L368" i="1"/>
  <c r="M369" i="1"/>
  <c r="L369" i="1"/>
  <c r="M370" i="1"/>
  <c r="L370" i="1"/>
  <c r="M371" i="1"/>
  <c r="L371" i="1"/>
  <c r="M372" i="1"/>
  <c r="L372" i="1"/>
  <c r="M373" i="1"/>
  <c r="L373" i="1"/>
  <c r="M374" i="1"/>
  <c r="L374" i="1"/>
  <c r="M375" i="1"/>
  <c r="L375" i="1"/>
  <c r="M376" i="1"/>
  <c r="L376" i="1"/>
  <c r="M377" i="1"/>
  <c r="L377" i="1"/>
  <c r="M378" i="1"/>
  <c r="L378" i="1"/>
  <c r="M379" i="1"/>
  <c r="L379" i="1"/>
  <c r="M380" i="1"/>
  <c r="L380" i="1"/>
  <c r="M381" i="1"/>
  <c r="L381" i="1"/>
  <c r="M382" i="1"/>
  <c r="L382" i="1"/>
  <c r="M383" i="1"/>
  <c r="L383" i="1"/>
</calcChain>
</file>

<file path=xl/sharedStrings.xml><?xml version="1.0" encoding="utf-8"?>
<sst xmlns="http://schemas.openxmlformats.org/spreadsheetml/2006/main" count="1023" uniqueCount="536">
  <si>
    <t>Name</t>
  </si>
  <si>
    <t>NIFTY25JULFUT</t>
  </si>
  <si>
    <t>Interval</t>
  </si>
  <si>
    <t>3minute</t>
  </si>
  <si>
    <t>LOW</t>
  </si>
  <si>
    <t>HIGHEST VOLUME</t>
  </si>
  <si>
    <t>HIGHEST OI</t>
  </si>
  <si>
    <t>BREAKOUT VOLUME</t>
  </si>
  <si>
    <t>YDAY INTERVAL</t>
  </si>
  <si>
    <t>15minute</t>
  </si>
  <si>
    <t>YDAY HIGH</t>
  </si>
  <si>
    <t>trading_symbol</t>
  </si>
  <si>
    <t>From Date</t>
  </si>
  <si>
    <t>2025-07-09</t>
  </si>
  <si>
    <t>HIGH</t>
  </si>
  <si>
    <t>LOWEST VOLUME</t>
  </si>
  <si>
    <t>LOWEST OI</t>
  </si>
  <si>
    <t>REVERSAL VOLUME</t>
  </si>
  <si>
    <t>YDAY</t>
  </si>
  <si>
    <t>2025-07-08</t>
  </si>
  <si>
    <t>YDAY LOW</t>
  </si>
  <si>
    <t>exchange_token</t>
  </si>
  <si>
    <t>To Date</t>
  </si>
  <si>
    <t>2025-07-10</t>
  </si>
  <si>
    <t>AVERAGE VOLUME</t>
  </si>
  <si>
    <t>AVERAGE OI</t>
  </si>
  <si>
    <t>minClose</t>
  </si>
  <si>
    <t>maxClose</t>
  </si>
  <si>
    <t>Date</t>
  </si>
  <si>
    <t>Open</t>
  </si>
  <si>
    <t>High</t>
  </si>
  <si>
    <t>Low</t>
  </si>
  <si>
    <t>Close</t>
  </si>
  <si>
    <t>Volume</t>
  </si>
  <si>
    <t>OI</t>
  </si>
  <si>
    <t>CHANGE IN VOLUME</t>
  </si>
  <si>
    <t>VLM CHANGE</t>
  </si>
  <si>
    <t>CHANGE IN OI</t>
  </si>
  <si>
    <t>OI CHNG%</t>
  </si>
  <si>
    <t>PRICE AND VOLUME BREAKOUT</t>
  </si>
  <si>
    <t>REVERSAL</t>
  </si>
  <si>
    <t>Description</t>
  </si>
  <si>
    <t>API Key</t>
  </si>
  <si>
    <t>4v210llwkbl8uimi</t>
  </si>
  <si>
    <t>Price</t>
  </si>
  <si>
    <t>Trader’s Perception</t>
  </si>
  <si>
    <t>minute</t>
  </si>
  <si>
    <t>1-minute candles</t>
  </si>
  <si>
    <t>Access Token</t>
  </si>
  <si>
    <t>5pkF6dkgQKrRBz3JWGp3ga7r8cqsKtZE</t>
  </si>
  <si>
    <t>Increase</t>
  </si>
  <si>
    <t>Bullish</t>
  </si>
  <si>
    <t>3-minute candles</t>
  </si>
  <si>
    <t>Decrease</t>
  </si>
  <si>
    <t>Bearish trend could probably end, expect reversal</t>
  </si>
  <si>
    <t>5minute</t>
  </si>
  <si>
    <t>5-minute candles</t>
  </si>
  <si>
    <t>API SECRETE</t>
  </si>
  <si>
    <t>4kiy063fs1q543s86sj3vveqp2j8xobh</t>
  </si>
  <si>
    <t>Bearish</t>
  </si>
  <si>
    <t>10minute</t>
  </si>
  <si>
    <t>10-minute candles</t>
  </si>
  <si>
    <t>Bullish trend could probably end, expect reversal</t>
  </si>
  <si>
    <t>15-minute candles</t>
  </si>
  <si>
    <t>30minute</t>
  </si>
  <si>
    <t>30-minute candles</t>
  </si>
  <si>
    <t>60minute</t>
  </si>
  <si>
    <t>60-minute candles</t>
  </si>
  <si>
    <t>More trades on the long side</t>
  </si>
  <si>
    <t>day</t>
  </si>
  <si>
    <t>Daily candles</t>
  </si>
  <si>
    <t>Longs are covering their position, also called long unwinding</t>
  </si>
  <si>
    <t>week</t>
  </si>
  <si>
    <t>Weekly candles</t>
  </si>
  <si>
    <t>More trades on the short side</t>
  </si>
  <si>
    <t>month</t>
  </si>
  <si>
    <t>Monthly candles</t>
  </si>
  <si>
    <t>Shorts are covering their position, also called short covering</t>
  </si>
  <si>
    <t>name</t>
  </si>
  <si>
    <t>tradingsymbol</t>
  </si>
  <si>
    <t>instrument_token</t>
  </si>
  <si>
    <t>NIFTY25AUGFUT</t>
  </si>
  <si>
    <t>PFC25JULFUT</t>
  </si>
  <si>
    <t>PFC25AUGFUT</t>
  </si>
  <si>
    <t>BANKNIFTY25JULFUT</t>
  </si>
  <si>
    <t>BANKNIFTY25AUGFUT</t>
  </si>
  <si>
    <t>AARTIIND25JULFUT</t>
  </si>
  <si>
    <t>ABB25JULFUT</t>
  </si>
  <si>
    <t>ABB25AUGFUT</t>
  </si>
  <si>
    <t>ABCAPITAL25JULFUT</t>
  </si>
  <si>
    <t>ABCAPITAL25AUGFUT</t>
  </si>
  <si>
    <t>ABFRL25JULFUT</t>
  </si>
  <si>
    <t>ABFRL25AUGFUT</t>
  </si>
  <si>
    <t>ACC25JULFUT</t>
  </si>
  <si>
    <t>ADANIENSOL25JULFUT</t>
  </si>
  <si>
    <t>ADANIENSOL25AUGFUT</t>
  </si>
  <si>
    <t>ADANIENT25JULFUT</t>
  </si>
  <si>
    <t>ADANIENT25AUGFUT</t>
  </si>
  <si>
    <t>ADANIGREEN25JULFUT</t>
  </si>
  <si>
    <t>ADANIGREEN25AUGFUT</t>
  </si>
  <si>
    <t>ADANIPORTS25JULFUT</t>
  </si>
  <si>
    <t>ADANIPORTS25AUGFUT</t>
  </si>
  <si>
    <t>ALKEM25JULFUT</t>
  </si>
  <si>
    <t>ALKEM25AUGFUT</t>
  </si>
  <si>
    <t>AMBUJACEM25JULFUT</t>
  </si>
  <si>
    <t>AMBUJACEM25AUGFUT</t>
  </si>
  <si>
    <t>ANGELONE25JULFUT</t>
  </si>
  <si>
    <t>ANGELONE25AUGFUT</t>
  </si>
  <si>
    <t>APLAPOLLO25JULFUT</t>
  </si>
  <si>
    <t>APLAPOLLO25AUGFUT</t>
  </si>
  <si>
    <t>APOLLOHOSP25JULFUT</t>
  </si>
  <si>
    <t>APOLLOHOSP25AUGFUT</t>
  </si>
  <si>
    <t>ASHOKLEY25JULFUT</t>
  </si>
  <si>
    <t>ASHOKLEY25AUGFUT</t>
  </si>
  <si>
    <t>ASIANPAINT25JULFUT</t>
  </si>
  <si>
    <t>ASIANPAINT25AUGFUT</t>
  </si>
  <si>
    <t>ASTRAL25JULFUT</t>
  </si>
  <si>
    <t>ASTRAL25AUGFUT</t>
  </si>
  <si>
    <t>ATGL25JULFUT</t>
  </si>
  <si>
    <t>ATGL25AUGFUT</t>
  </si>
  <si>
    <t>AUBANK25JULFUT</t>
  </si>
  <si>
    <t>AUBANK25AUGFUT</t>
  </si>
  <si>
    <t>AUROPHARMA25JULFUT</t>
  </si>
  <si>
    <t>AUROPHARMA25AUGFUT</t>
  </si>
  <si>
    <t>AXISBANK25JULFUT</t>
  </si>
  <si>
    <t>AXISBANK25AUGFUT</t>
  </si>
  <si>
    <t>BAJAJ-AUTO25JULFUT</t>
  </si>
  <si>
    <t>BAJAJ-AUTO25AUGFUT</t>
  </si>
  <si>
    <t>BAJAJFINSV25JULFUT</t>
  </si>
  <si>
    <t>BAJAJFINSV25AUGFUT</t>
  </si>
  <si>
    <t>BAJFINANCE25JULFUT</t>
  </si>
  <si>
    <t>BAJFINANCE25AUGFUT</t>
  </si>
  <si>
    <t>BALKRISIND25JULFUT</t>
  </si>
  <si>
    <t>BANDHANBNK25JULFUT</t>
  </si>
  <si>
    <t>BANDHANBNK25AUGFUT</t>
  </si>
  <si>
    <t>BANKBARODA25JULFUT</t>
  </si>
  <si>
    <t>BANKBARODA25AUGFUT</t>
  </si>
  <si>
    <t>BANKINDIA25JULFUT</t>
  </si>
  <si>
    <t>BANKINDIA25AUGFUT</t>
  </si>
  <si>
    <t>BDL25JULFUT</t>
  </si>
  <si>
    <t>BDL25AUGFUT</t>
  </si>
  <si>
    <t>BEL25JULFUT</t>
  </si>
  <si>
    <t>BEL25AUGFUT</t>
  </si>
  <si>
    <t>BHARATFORG25JULFUT</t>
  </si>
  <si>
    <t>BHARATFORG25AUGFUT</t>
  </si>
  <si>
    <t>BHARTIARTL25JULFUT</t>
  </si>
  <si>
    <t>BHARTIARTL25AUGFUT</t>
  </si>
  <si>
    <t>BHEL25JULFUT</t>
  </si>
  <si>
    <t>BHEL25AUGFUT</t>
  </si>
  <si>
    <t>BIOCON25JULFUT</t>
  </si>
  <si>
    <t>BIOCON25AUGFUT</t>
  </si>
  <si>
    <t>BLUESTARCO25JULFUT</t>
  </si>
  <si>
    <t>BLUESTARCO25AUGFUT</t>
  </si>
  <si>
    <t>BOSCHLTD25JULFUT</t>
  </si>
  <si>
    <t>BOSCHLTD25AUGFUT</t>
  </si>
  <si>
    <t>BPCL25JULFUT</t>
  </si>
  <si>
    <t>BPCL25AUGFUT</t>
  </si>
  <si>
    <t>BRITANNIA25JULFUT</t>
  </si>
  <si>
    <t>BRITANNIA25AUGFUT</t>
  </si>
  <si>
    <t>BSE25JULFUT</t>
  </si>
  <si>
    <t>BSE25AUGFUT</t>
  </si>
  <si>
    <t>BSOFT25JULFUT</t>
  </si>
  <si>
    <t>CAMS25JULFUT</t>
  </si>
  <si>
    <t>CAMS25AUGFUT</t>
  </si>
  <si>
    <t>CANBK25JULFUT</t>
  </si>
  <si>
    <t>CANBK25AUGFUT</t>
  </si>
  <si>
    <t>CDSL25JULFUT</t>
  </si>
  <si>
    <t>CDSL25AUGFUT</t>
  </si>
  <si>
    <t>CESC25JULFUT</t>
  </si>
  <si>
    <t>CESC25AUGFUT</t>
  </si>
  <si>
    <t>CGPOWER25JULFUT</t>
  </si>
  <si>
    <t>CGPOWER25AUGFUT</t>
  </si>
  <si>
    <t>CHAMBLFERT25JULFUT</t>
  </si>
  <si>
    <t>CHOLAFIN25JULFUT</t>
  </si>
  <si>
    <t>CHOLAFIN25AUGFUT</t>
  </si>
  <si>
    <t>CIPLA25JULFUT</t>
  </si>
  <si>
    <t>CIPLA25AUGFUT</t>
  </si>
  <si>
    <t>COALINDIA25JULFUT</t>
  </si>
  <si>
    <t>COALINDIA25AUGFUT</t>
  </si>
  <si>
    <t>COFORGE25JULFUT</t>
  </si>
  <si>
    <t>COFORGE25AUGFUT</t>
  </si>
  <si>
    <t>COLPAL25JULFUT</t>
  </si>
  <si>
    <t>COLPAL25AUGFUT</t>
  </si>
  <si>
    <t>CONCOR25JULFUT</t>
  </si>
  <si>
    <t>CONCOR25AUGFUT</t>
  </si>
  <si>
    <t>CROMPTON25JULFUT</t>
  </si>
  <si>
    <t>CROMPTON25AUGFUT</t>
  </si>
  <si>
    <t>CUMMINSIND25JULFUT</t>
  </si>
  <si>
    <t>CUMMINSIND25AUGFUT</t>
  </si>
  <si>
    <t>CYIENT25JULFUT</t>
  </si>
  <si>
    <t>CYIENT25AUGFUT</t>
  </si>
  <si>
    <t>DABUR25JULFUT</t>
  </si>
  <si>
    <t>DABUR25AUGFUT</t>
  </si>
  <si>
    <t>DALBHARAT25JULFUT</t>
  </si>
  <si>
    <t>DALBHARAT25AUGFUT</t>
  </si>
  <si>
    <t>DELHIVERY25JULFUT</t>
  </si>
  <si>
    <t>DELHIVERY25AUGFUT</t>
  </si>
  <si>
    <t>DIVISLAB25JULFUT</t>
  </si>
  <si>
    <t>DIVISLAB25AUGFUT</t>
  </si>
  <si>
    <t>DIXON25JULFUT</t>
  </si>
  <si>
    <t>DIXON25AUGFUT</t>
  </si>
  <si>
    <t>DLF25JULFUT</t>
  </si>
  <si>
    <t>DLF25AUGFUT</t>
  </si>
  <si>
    <t>DMART25JULFUT</t>
  </si>
  <si>
    <t>DMART25AUGFUT</t>
  </si>
  <si>
    <t>DRREDDY25JULFUT</t>
  </si>
  <si>
    <t>DRREDDY25AUGFUT</t>
  </si>
  <si>
    <t>EICHERMOT25JULFUT</t>
  </si>
  <si>
    <t>EICHERMOT25AUGFUT</t>
  </si>
  <si>
    <t>ETERNAL25JULFUT</t>
  </si>
  <si>
    <t>ETERNAL25AUGFUT</t>
  </si>
  <si>
    <t>EXIDEIND25JULFUT</t>
  </si>
  <si>
    <t>EXIDEIND25AUGFUT</t>
  </si>
  <si>
    <t>FEDERALBNK25JULFUT</t>
  </si>
  <si>
    <t>FEDERALBNK25AUGFUT</t>
  </si>
  <si>
    <t>FINNIFTY25JULFUT</t>
  </si>
  <si>
    <t>FINNIFTY25AUGFUT</t>
  </si>
  <si>
    <t>FORTIS25JULFUT</t>
  </si>
  <si>
    <t>FORTIS25AUGFUT</t>
  </si>
  <si>
    <t>GAIL25JULFUT</t>
  </si>
  <si>
    <t>GAIL25AUGFUT</t>
  </si>
  <si>
    <t>GLENMARK25JULFUT</t>
  </si>
  <si>
    <t>GLENMARK25AUGFUT</t>
  </si>
  <si>
    <t>GMRAIRPORT25JULFUT</t>
  </si>
  <si>
    <t>GMRAIRPORT25AUGFUT</t>
  </si>
  <si>
    <t>GODREJCP25JULFUT</t>
  </si>
  <si>
    <t>GODREJCP25AUGFUT</t>
  </si>
  <si>
    <t>GODREJPROP25JULFUT</t>
  </si>
  <si>
    <t>GODREJPROP25AUGFUT</t>
  </si>
  <si>
    <t>GRANULES25JULFUT</t>
  </si>
  <si>
    <t>GRANULES25AUGFUT</t>
  </si>
  <si>
    <t>GRASIM25JULFUT</t>
  </si>
  <si>
    <t>GRASIM25AUGFUT</t>
  </si>
  <si>
    <t>HAL25JULFUT</t>
  </si>
  <si>
    <t>HAL25AUGFUT</t>
  </si>
  <si>
    <t>HAVELLS25JULFUT</t>
  </si>
  <si>
    <t>HAVELLS25AUGFUT</t>
  </si>
  <si>
    <t>HCLTECH25JULFUT</t>
  </si>
  <si>
    <t>HCLTECH25AUGFUT</t>
  </si>
  <si>
    <t>HDFCAMC25JULFUT</t>
  </si>
  <si>
    <t>HDFCAMC25AUGFUT</t>
  </si>
  <si>
    <t>HDFCBANK25JULFUT</t>
  </si>
  <si>
    <t>HDFCBANK25AUGFUT</t>
  </si>
  <si>
    <t>HDFCLIFE25JULFUT</t>
  </si>
  <si>
    <t>HDFCLIFE25AUGFUT</t>
  </si>
  <si>
    <t>HEROMOTOCO25JULFUT</t>
  </si>
  <si>
    <t>HEROMOTOCO25AUGFUT</t>
  </si>
  <si>
    <t>HFCL25JULFUT</t>
  </si>
  <si>
    <t>HFCL25AUGFUT</t>
  </si>
  <si>
    <t>HINDALCO25JULFUT</t>
  </si>
  <si>
    <t>HINDALCO25AUGFUT</t>
  </si>
  <si>
    <t>HINDCOPPER25JULFUT</t>
  </si>
  <si>
    <t>HINDPETRO25JULFUT</t>
  </si>
  <si>
    <t>HINDPETRO25AUGFUT</t>
  </si>
  <si>
    <t>HINDUNILVR25JULFUT</t>
  </si>
  <si>
    <t>HINDUNILVR25AUGFUT</t>
  </si>
  <si>
    <t>HINDZINC25JULFUT</t>
  </si>
  <si>
    <t>HINDZINC25AUGFUT</t>
  </si>
  <si>
    <t>HUDCO25JULFUT</t>
  </si>
  <si>
    <t>HUDCO25AUGFUT</t>
  </si>
  <si>
    <t>ICICIBANK25JULFUT</t>
  </si>
  <si>
    <t>ICICIBANK25AUGFUT</t>
  </si>
  <si>
    <t>ICICIGI25JULFUT</t>
  </si>
  <si>
    <t>ICICIGI25AUGFUT</t>
  </si>
  <si>
    <t>ICICIPRULI25JULFUT</t>
  </si>
  <si>
    <t>ICICIPRULI25AUGFUT</t>
  </si>
  <si>
    <t>IDEA25JULFUT</t>
  </si>
  <si>
    <t>IDEA25AUGFUT</t>
  </si>
  <si>
    <t>IDFCFIRSTB25JULFUT</t>
  </si>
  <si>
    <t>IDFCFIRSTB25AUGFUT</t>
  </si>
  <si>
    <t>IEX25JULFUT</t>
  </si>
  <si>
    <t>IEX25AUGFUT</t>
  </si>
  <si>
    <t>IGL25JULFUT</t>
  </si>
  <si>
    <t>IGL25AUGFUT</t>
  </si>
  <si>
    <t>IIFL25JULFUT</t>
  </si>
  <si>
    <t>IIFL25AUGFUT</t>
  </si>
  <si>
    <t>INDHOTEL25JULFUT</t>
  </si>
  <si>
    <t>INDHOTEL25AUGFUT</t>
  </si>
  <si>
    <t>INDIANB25JULFUT</t>
  </si>
  <si>
    <t>INDIANB25AUGFUT</t>
  </si>
  <si>
    <t>INDIGO25JULFUT</t>
  </si>
  <si>
    <t>INDIGO25AUGFUT</t>
  </si>
  <si>
    <t>INDUSINDBK25JULFUT</t>
  </si>
  <si>
    <t>INDUSINDBK25AUGFUT</t>
  </si>
  <si>
    <t>INDUSTOWER25JULFUT</t>
  </si>
  <si>
    <t>INDUSTOWER25AUGFUT</t>
  </si>
  <si>
    <t>INFY25JULFUT</t>
  </si>
  <si>
    <t>INFY25AUGFUT</t>
  </si>
  <si>
    <t>INOXWIND25JULFUT</t>
  </si>
  <si>
    <t>INOXWIND25AUGFUT</t>
  </si>
  <si>
    <t>IOC25JULFUT</t>
  </si>
  <si>
    <t>IOC25AUGFUT</t>
  </si>
  <si>
    <t>IRB25JULFUT</t>
  </si>
  <si>
    <t>IRB25AUGFUT</t>
  </si>
  <si>
    <t>IRCTC25JULFUT</t>
  </si>
  <si>
    <t>IRCTC25AUGFUT</t>
  </si>
  <si>
    <t>IREDA25JULFUT</t>
  </si>
  <si>
    <t>IREDA25AUGFUT</t>
  </si>
  <si>
    <t>IRFC25JULFUT</t>
  </si>
  <si>
    <t>IRFC25AUGFUT</t>
  </si>
  <si>
    <t>ITC25JULFUT</t>
  </si>
  <si>
    <t>ITC25AUGFUT</t>
  </si>
  <si>
    <t>JINDALSTEL25JULFUT</t>
  </si>
  <si>
    <t>JINDALSTEL25AUGFUT</t>
  </si>
  <si>
    <t>JIOFIN25JULFUT</t>
  </si>
  <si>
    <t>JIOFIN25AUGFUT</t>
  </si>
  <si>
    <t>JSL25JULFUT</t>
  </si>
  <si>
    <t>JSL25AUGFUT</t>
  </si>
  <si>
    <t>JSWENERGY25JULFUT</t>
  </si>
  <si>
    <t>JSWENERGY25AUGFUT</t>
  </si>
  <si>
    <t>JSWSTEEL25JULFUT</t>
  </si>
  <si>
    <t>JSWSTEEL25AUGFUT</t>
  </si>
  <si>
    <t>JUBLFOOD25JULFUT</t>
  </si>
  <si>
    <t>JUBLFOOD25AUGFUT</t>
  </si>
  <si>
    <t>KALYANKJIL25JULFUT</t>
  </si>
  <si>
    <t>KALYANKJIL25AUGFUT</t>
  </si>
  <si>
    <t>KAYNES25JULFUT</t>
  </si>
  <si>
    <t>KAYNES25AUGFUT</t>
  </si>
  <si>
    <t>KEI25JULFUT</t>
  </si>
  <si>
    <t>KEI25AUGFUT</t>
  </si>
  <si>
    <t>KOTAKBANK25JULFUT</t>
  </si>
  <si>
    <t>KOTAKBANK25AUGFUT</t>
  </si>
  <si>
    <t>KPITTECH25JULFUT</t>
  </si>
  <si>
    <t>KPITTECH25AUGFUT</t>
  </si>
  <si>
    <t>LAURUSLABS25JULFUT</t>
  </si>
  <si>
    <t>LAURUSLABS25AUGFUT</t>
  </si>
  <si>
    <t>LICHSGFIN25JULFUT</t>
  </si>
  <si>
    <t>LICHSGFIN25AUGFUT</t>
  </si>
  <si>
    <t>LICI25JULFUT</t>
  </si>
  <si>
    <t>LICI25AUGFUT</t>
  </si>
  <si>
    <t>LODHA25JULFUT</t>
  </si>
  <si>
    <t>LODHA25AUGFUT</t>
  </si>
  <si>
    <t>LT25JULFUT</t>
  </si>
  <si>
    <t>LT25AUGFUT</t>
  </si>
  <si>
    <t>LTF25JULFUT</t>
  </si>
  <si>
    <t>LTF25AUGFUT</t>
  </si>
  <si>
    <t>LTIM25JULFUT</t>
  </si>
  <si>
    <t>LTIM25AUGFUT</t>
  </si>
  <si>
    <t>LUPIN25JULFUT</t>
  </si>
  <si>
    <t>LUPIN25AUGFUT</t>
  </si>
  <si>
    <t>M&amp;M25JULFUT</t>
  </si>
  <si>
    <t>M&amp;M25AUGFUT</t>
  </si>
  <si>
    <t>M&amp;MFIN25JULFUT</t>
  </si>
  <si>
    <t>MANAPPURAM25JULFUT</t>
  </si>
  <si>
    <t>MANAPPURAM25AUGFUT</t>
  </si>
  <si>
    <t>MANKIND25JULFUT</t>
  </si>
  <si>
    <t>MANKIND25AUGFUT</t>
  </si>
  <si>
    <t>MARICO25JULFUT</t>
  </si>
  <si>
    <t>MARICO25AUGFUT</t>
  </si>
  <si>
    <t>MARUTI25JULFUT</t>
  </si>
  <si>
    <t>MARUTI25AUGFUT</t>
  </si>
  <si>
    <t>MAXHEALTH25JULFUT</t>
  </si>
  <si>
    <t>MAXHEALTH25AUGFUT</t>
  </si>
  <si>
    <t>MAZDOCK25JULFUT</t>
  </si>
  <si>
    <t>MAZDOCK25AUGFUT</t>
  </si>
  <si>
    <t>MCX25JULFUT</t>
  </si>
  <si>
    <t>MCX25AUGFUT</t>
  </si>
  <si>
    <t>MFSL25JULFUT</t>
  </si>
  <si>
    <t>MFSL25AUGFUT</t>
  </si>
  <si>
    <t>MGL25JULFUT</t>
  </si>
  <si>
    <t>MIDCPNIFTY25JULFUT</t>
  </si>
  <si>
    <t>MIDCPNIFTY25AUGFUT</t>
  </si>
  <si>
    <t>MOTHERSON25JULFUT</t>
  </si>
  <si>
    <t>MOTHERSON25AUGFUT</t>
  </si>
  <si>
    <t>MPHASIS25JULFUT</t>
  </si>
  <si>
    <t>MPHASIS25AUGFUT</t>
  </si>
  <si>
    <t>MUTHOOTFIN25JULFUT</t>
  </si>
  <si>
    <t>MUTHOOTFIN25AUGFUT</t>
  </si>
  <si>
    <t>NATIONALUM25JULFUT</t>
  </si>
  <si>
    <t>NATIONALUM25AUGFUT</t>
  </si>
  <si>
    <t>NAUKRI25JULFUT</t>
  </si>
  <si>
    <t>NAUKRI25AUGFUT</t>
  </si>
  <si>
    <t>NBCC25JULFUT</t>
  </si>
  <si>
    <t>NBCC25AUGFUT</t>
  </si>
  <si>
    <t>NCC25JULFUT</t>
  </si>
  <si>
    <t>NCC25AUGFUT</t>
  </si>
  <si>
    <t>NESTLEIND25JULFUT</t>
  </si>
  <si>
    <t>NESTLEIND25AUGFUT</t>
  </si>
  <si>
    <t>NHPC25JULFUT</t>
  </si>
  <si>
    <t>NHPC25AUGFUT</t>
  </si>
  <si>
    <t>NIFTYNXT5025JULFUT</t>
  </si>
  <si>
    <t>NIFTYNXT5025AUGFUT</t>
  </si>
  <si>
    <t>NMDC25JULFUT</t>
  </si>
  <si>
    <t>NMDC25AUGFUT</t>
  </si>
  <si>
    <t>NTPC25JULFUT</t>
  </si>
  <si>
    <t>NTPC25AUGFUT</t>
  </si>
  <si>
    <t>NYKAA25JULFUT</t>
  </si>
  <si>
    <t>NYKAA25AUGFUT</t>
  </si>
  <si>
    <t>OBEROIRLTY25JULFUT</t>
  </si>
  <si>
    <t>OBEROIRLTY25AUGFUT</t>
  </si>
  <si>
    <t>OFSS25JULFUT</t>
  </si>
  <si>
    <t>OFSS25AUGFUT</t>
  </si>
  <si>
    <t>OIL25JULFUT</t>
  </si>
  <si>
    <t>OIL25AUGFUT</t>
  </si>
  <si>
    <t>ONGC25JULFUT</t>
  </si>
  <si>
    <t>ONGC25AUGFUT</t>
  </si>
  <si>
    <t>PAGEIND25JULFUT</t>
  </si>
  <si>
    <t>PAGEIND25AUGFUT</t>
  </si>
  <si>
    <t>PATANJALI25JULFUT</t>
  </si>
  <si>
    <t>PATANJALI25AUGFUT</t>
  </si>
  <si>
    <t>PAYTM25JULFUT</t>
  </si>
  <si>
    <t>PAYTM25AUGFUT</t>
  </si>
  <si>
    <t>PEL25JULFUT</t>
  </si>
  <si>
    <t>PERSISTENT25JULFUT</t>
  </si>
  <si>
    <t>PERSISTENT25AUGFUT</t>
  </si>
  <si>
    <t>PETRONET25JULFUT</t>
  </si>
  <si>
    <t>PETRONET25AUGFUT</t>
  </si>
  <si>
    <t>PHOENIXLTD25JULFUT</t>
  </si>
  <si>
    <t>PHOENIXLTD25AUGFUT</t>
  </si>
  <si>
    <t>PIDILITIND25JULFUT</t>
  </si>
  <si>
    <t>PIDILITIND25AUGFUT</t>
  </si>
  <si>
    <t>PIIND25JULFUT</t>
  </si>
  <si>
    <t>PIIND25AUGFUT</t>
  </si>
  <si>
    <t>PNB25JULFUT</t>
  </si>
  <si>
    <t>PNB25AUGFUT</t>
  </si>
  <si>
    <t>PNBHOUSING25JULFUT</t>
  </si>
  <si>
    <t>PNBHOUSING25AUGFUT</t>
  </si>
  <si>
    <t>POLICYBZR25JULFUT</t>
  </si>
  <si>
    <t>POLICYBZR25AUGFUT</t>
  </si>
  <si>
    <t>POLYCAB25JULFUT</t>
  </si>
  <si>
    <t>POLYCAB25AUGFUT</t>
  </si>
  <si>
    <t>POONAWALLA25JULFUT</t>
  </si>
  <si>
    <t>POONAWALLA25AUGFUT</t>
  </si>
  <si>
    <t>POWERGRID25JULFUT</t>
  </si>
  <si>
    <t>POWERGRID25AUGFUT</t>
  </si>
  <si>
    <t>PPLPHARMA25JULFUT</t>
  </si>
  <si>
    <t>PPLPHARMA25AUGFUT</t>
  </si>
  <si>
    <t>PRESTIGE25JULFUT</t>
  </si>
  <si>
    <t>PRESTIGE25AUGFUT</t>
  </si>
  <si>
    <t>RBLBANK25JULFUT</t>
  </si>
  <si>
    <t>RBLBANK25AUGFUT</t>
  </si>
  <si>
    <t>RECLTD25JULFUT</t>
  </si>
  <si>
    <t>RECLTD25AUGFUT</t>
  </si>
  <si>
    <t>RELIANCE25JULFUT</t>
  </si>
  <si>
    <t>RELIANCE25AUGFUT</t>
  </si>
  <si>
    <t>RVNL25JULFUT</t>
  </si>
  <si>
    <t>RVNL25AUGFUT</t>
  </si>
  <si>
    <t>SAIL25JULFUT</t>
  </si>
  <si>
    <t>SAIL25AUGFUT</t>
  </si>
  <si>
    <t>SBICARD25JULFUT</t>
  </si>
  <si>
    <t>SBICARD25AUGFUT</t>
  </si>
  <si>
    <t>SBILIFE25JULFUT</t>
  </si>
  <si>
    <t>SBILIFE25AUGFUT</t>
  </si>
  <si>
    <t>SBIN25JULFUT</t>
  </si>
  <si>
    <t>SBIN25AUGFUT</t>
  </si>
  <si>
    <t>SHREECEM25JULFUT</t>
  </si>
  <si>
    <t>SHREECEM25AUGFUT</t>
  </si>
  <si>
    <t>SHRIRAMFIN25JULFUT</t>
  </si>
  <si>
    <t>SHRIRAMFIN25AUGFUT</t>
  </si>
  <si>
    <t>SIEMENS25JULFUT</t>
  </si>
  <si>
    <t>SIEMENS25AUGFUT</t>
  </si>
  <si>
    <t>SJVN25JULFUT</t>
  </si>
  <si>
    <t>SJVN25AUGFUT</t>
  </si>
  <si>
    <t>SOLARINDS25JULFUT</t>
  </si>
  <si>
    <t>SOLARINDS25AUGFUT</t>
  </si>
  <si>
    <t>SONACOMS25JULFUT</t>
  </si>
  <si>
    <t>SONACOMS25AUGFUT</t>
  </si>
  <si>
    <t>SRF25JULFUT</t>
  </si>
  <si>
    <t>SRF25AUGFUT</t>
  </si>
  <si>
    <t>SUNPHARMA25JULFUT</t>
  </si>
  <si>
    <t>SUNPHARMA25AUGFUT</t>
  </si>
  <si>
    <t>SUPREMEIND25JULFUT</t>
  </si>
  <si>
    <t>SUPREMEIND25AUGFUT</t>
  </si>
  <si>
    <t>SYNGENE25JULFUT</t>
  </si>
  <si>
    <t>SYNGENE25AUGFUT</t>
  </si>
  <si>
    <t>TATACHEM25JULFUT</t>
  </si>
  <si>
    <t>TATACHEM25AUGFUT</t>
  </si>
  <si>
    <t>TATACOMM25JULFUT</t>
  </si>
  <si>
    <t>TATACONSUM25JULFUT</t>
  </si>
  <si>
    <t>TATACONSUM25AUGFUT</t>
  </si>
  <si>
    <t>TATAELXSI25JULFUT</t>
  </si>
  <si>
    <t>TATAELXSI25AUGFUT</t>
  </si>
  <si>
    <t>TATAMOTORS25JULFUT</t>
  </si>
  <si>
    <t>TATAMOTORS25AUGFUT</t>
  </si>
  <si>
    <t>TATAPOWER25JULFUT</t>
  </si>
  <si>
    <t>TATAPOWER25AUGFUT</t>
  </si>
  <si>
    <t>TATASTEEL25JULFUT</t>
  </si>
  <si>
    <t>TATASTEEL25AUGFUT</t>
  </si>
  <si>
    <t>TATATECH25JULFUT</t>
  </si>
  <si>
    <t>TATATECH25AUGFUT</t>
  </si>
  <si>
    <t>TCS25JULFUT</t>
  </si>
  <si>
    <t>TCS25AUGFUT</t>
  </si>
  <si>
    <t>TECHM25JULFUT</t>
  </si>
  <si>
    <t>TECHM25AUGFUT</t>
  </si>
  <si>
    <t>TIINDIA25JULFUT</t>
  </si>
  <si>
    <t>TIINDIA25AUGFUT</t>
  </si>
  <si>
    <t>TITAGARH25JULFUT</t>
  </si>
  <si>
    <t>TITAGARH25AUGFUT</t>
  </si>
  <si>
    <t>TITAN25JULFUT</t>
  </si>
  <si>
    <t>TITAN25AUGFUT</t>
  </si>
  <si>
    <t>TORNTPHARM25JULFUT</t>
  </si>
  <si>
    <t>TORNTPHARM25AUGFUT</t>
  </si>
  <si>
    <t>TORNTPOWER25JULFUT</t>
  </si>
  <si>
    <t>TORNTPOWER25AUGFUT</t>
  </si>
  <si>
    <t>TRENT25JULFUT</t>
  </si>
  <si>
    <t>TRENT25AUGFUT</t>
  </si>
  <si>
    <t>TVSMOTOR25JULFUT</t>
  </si>
  <si>
    <t>TVSMOTOR25AUGFUT</t>
  </si>
  <si>
    <t>ULTRACEMCO25JULFUT</t>
  </si>
  <si>
    <t>ULTRACEMCO25AUGFUT</t>
  </si>
  <si>
    <t>UNIONBANK25JULFUT</t>
  </si>
  <si>
    <t>UNIONBANK25AUGFUT</t>
  </si>
  <si>
    <t>UNITDSPR25JULFUT</t>
  </si>
  <si>
    <t>UNITDSPR25AUGFUT</t>
  </si>
  <si>
    <t>UNOMINDA25JULFUT</t>
  </si>
  <si>
    <t>UNOMINDA25AUGFUT</t>
  </si>
  <si>
    <t>UPL25JULFUT</t>
  </si>
  <si>
    <t>UPL25AUGFUT</t>
  </si>
  <si>
    <t>VBL25JULFUT</t>
  </si>
  <si>
    <t>VBL25AUGFUT</t>
  </si>
  <si>
    <t>VEDL25JULFUT</t>
  </si>
  <si>
    <t>VEDL25AUGFUT</t>
  </si>
  <si>
    <t>VOLTAS25JULFUT</t>
  </si>
  <si>
    <t>VOLTAS25AUGFUT</t>
  </si>
  <si>
    <t>WIPRO25JULFUT</t>
  </si>
  <si>
    <t>WIPRO25AUGFUT</t>
  </si>
  <si>
    <t>YESBANK25JULFUT</t>
  </si>
  <si>
    <t>YESBANK25AUGFUT</t>
  </si>
  <si>
    <t>ZYDUSLIFE25JULFUT</t>
  </si>
  <si>
    <t>ZYDUSLIFE25AUGFUT</t>
  </si>
  <si>
    <t>ALUMINI25JULFUT</t>
  </si>
  <si>
    <t>ALUMINIUM25JULFUT</t>
  </si>
  <si>
    <t>COPPER25JULFUT</t>
  </si>
  <si>
    <t>CRUDEOIL25JULFUT</t>
  </si>
  <si>
    <t>CRUDEOILM25JULFUT</t>
  </si>
  <si>
    <t>GOLDM25JULFUT</t>
  </si>
  <si>
    <t>GOLDM25AUGFUT</t>
  </si>
  <si>
    <t>GOLDM25SEPFUT</t>
  </si>
  <si>
    <t>GOLDPETAL25JULFUT</t>
  </si>
  <si>
    <t>GOLDTEN25JULFUT</t>
  </si>
  <si>
    <t>NATGASMINI25JULFUT</t>
  </si>
  <si>
    <t>NATURALGAS25JULFUT</t>
  </si>
  <si>
    <t>SILVER25JULFUT</t>
  </si>
  <si>
    <t>STEELREBAR25JULFUT</t>
  </si>
  <si>
    <t>ZINC25JULFUT</t>
  </si>
  <si>
    <t>ZINCMINI25JULFUT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</si>
</sst>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.6"/>
      <color rgb="FFFF0000"/>
      <name val="Arial"/>
      <family val="2"/>
    </font>
    <font>
      <sz val="9.6"/>
      <color rgb="FF666666"/>
      <name val="Arial"/>
      <family val="2"/>
    </font>
    <font>
      <sz val="8"/>
      <color theme="1"/>
      <name val="Aptos Narrow"/>
      <family val="2"/>
      <scheme val="minor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14" fontId="2" fillId="0" borderId="0" xfId="0" applyNumberFormat="1" applyFont="1" applyAlignment="1">
      <alignment horizontal="center" vertical="top"/>
    </xf>
    <xf numFmtId="0" fontId="0" fillId="0" borderId="0" xfId="0" applyAlignment="1">
      <alignment horizontal="center" vertical="top"/>
    </xf>
    <xf numFmtId="0" fontId="2" fillId="0" borderId="0" xfId="0" applyFont="1" applyAlignment="1">
      <alignment horizontal="center" vertical="top"/>
    </xf>
    <xf numFmtId="9" fontId="2" fillId="0" borderId="0" xfId="0" applyNumberFormat="1" applyFont="1" applyAlignment="1">
      <alignment horizontal="center" vertical="top"/>
    </xf>
    <xf numFmtId="14" fontId="2" fillId="0" borderId="0" xfId="0" quotePrefix="1" applyNumberFormat="1" applyFont="1" applyAlignment="1">
      <alignment horizontal="center" vertical="top"/>
    </xf>
    <xf numFmtId="0" fontId="0" fillId="0" borderId="0" xfId="0" quotePrefix="1" applyAlignment="1">
      <alignment horizontal="center" vertical="top"/>
    </xf>
    <xf numFmtId="1" fontId="0" fillId="0" borderId="0" xfId="0" applyNumberFormat="1" applyAlignment="1">
      <alignment horizontal="center" vertical="top"/>
    </xf>
    <xf numFmtId="14" fontId="0" fillId="0" borderId="0" xfId="0" applyNumberFormat="1" applyAlignment="1">
      <alignment horizontal="center" vertical="top"/>
    </xf>
    <xf numFmtId="164" fontId="2" fillId="0" borderId="1" xfId="0" applyNumberFormat="1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2" fillId="3" borderId="1" xfId="0" applyFont="1" applyFill="1" applyBorder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10" fontId="0" fillId="0" borderId="0" xfId="1" applyNumberFormat="1" applyFont="1" applyAlignment="1">
      <alignment horizontal="center" vertical="top"/>
    </xf>
    <xf numFmtId="0" fontId="3" fillId="0" borderId="0" xfId="0" applyFont="1" applyAlignment="1">
      <alignment horizontal="center" vertical="top" wrapText="1"/>
    </xf>
    <xf numFmtId="0" fontId="3" fillId="0" borderId="1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vertical="top" wrapText="1"/>
    </xf>
    <xf numFmtId="0" fontId="4" fillId="0" borderId="1" xfId="0" quotePrefix="1" applyFont="1" applyBorder="1" applyAlignment="1">
      <alignment vertical="top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7" fillId="2" borderId="1" xfId="0" applyFont="1" applyFill="1" applyBorder="1" applyAlignment="1">
      <alignment horizontal="center" vertical="top"/>
    </xf>
  </cellXfs>
  <cellStyles count="2">
    <cellStyle name="Normal" xfId="0" builtinId="0"/>
    <cellStyle name="Percent" xfId="1" builtinId="5"/>
  </cellStyles>
  <dxfs count="1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</xdr:row>
          <xdr:rowOff>171450</xdr:rowOff>
        </xdr:from>
        <xdr:to>
          <xdr:col>12</xdr:col>
          <xdr:colOff>1162050</xdr:colOff>
          <xdr:row>3</xdr:row>
          <xdr:rowOff>133350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MIN\OneDrive\Documents\kitalgo\KiteOptions_price_vlm.xlsm" TargetMode="External"/><Relationship Id="rId1" Type="http://schemas.openxmlformats.org/officeDocument/2006/relationships/externalLinkPath" Target="file:///C:\Users\ADMIN\OneDrive\Documents\kitalgo\KiteOptions_price_vl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fig"/>
      <sheetName val="VOLUME_PRICE"/>
      <sheetName val="INSTRUMENTS"/>
      <sheetName val="fno list"/>
      <sheetName val="token"/>
      <sheetName val="Config2"/>
      <sheetName val="VOLUME_PRICE_REVERSE_SIGNALS"/>
      <sheetName val="FUTURES"/>
    </sheetNames>
    <sheetDataSet>
      <sheetData sheetId="0"/>
      <sheetData sheetId="1"/>
      <sheetData sheetId="2"/>
      <sheetData sheetId="3"/>
      <sheetData sheetId="4"/>
      <sheetData sheetId="5">
        <row r="13">
          <cell r="A13" t="str">
            <v>name</v>
          </cell>
          <cell r="B13" t="str">
            <v>tradingsymbol</v>
          </cell>
          <cell r="C13" t="str">
            <v>instrument_token</v>
          </cell>
          <cell r="D13" t="str">
            <v>exchange_token</v>
          </cell>
        </row>
        <row r="14">
          <cell r="A14" t="str">
            <v>NIFTY25JULFUT</v>
          </cell>
          <cell r="B14" t="str">
            <v>NIFTY25JULFUT</v>
          </cell>
          <cell r="C14">
            <v>13623298</v>
          </cell>
          <cell r="D14">
            <v>53216</v>
          </cell>
        </row>
        <row r="15">
          <cell r="A15" t="str">
            <v>NIFTY25AUGFUT</v>
          </cell>
          <cell r="B15" t="str">
            <v>NIFTY25AUGFUT</v>
          </cell>
          <cell r="C15">
            <v>16410370</v>
          </cell>
          <cell r="D15">
            <v>64103</v>
          </cell>
        </row>
        <row r="16">
          <cell r="A16" t="str">
            <v>PFC25JULFUT</v>
          </cell>
          <cell r="B16" t="str">
            <v>PFC25JULFUT</v>
          </cell>
          <cell r="C16">
            <v>13674242</v>
          </cell>
          <cell r="D16">
            <v>53415</v>
          </cell>
        </row>
        <row r="17">
          <cell r="A17" t="str">
            <v>PFC25AUGFUT</v>
          </cell>
          <cell r="B17" t="str">
            <v>PFC25AUGFUT</v>
          </cell>
          <cell r="C17">
            <v>16633602</v>
          </cell>
          <cell r="D17">
            <v>64975</v>
          </cell>
        </row>
        <row r="18">
          <cell r="A18" t="str">
            <v>NIFTY25JULFUT</v>
          </cell>
          <cell r="B18" t="str">
            <v>NIFTY25JULFUT</v>
          </cell>
          <cell r="C18">
            <v>13623298</v>
          </cell>
          <cell r="D18">
            <v>53216</v>
          </cell>
        </row>
        <row r="19">
          <cell r="A19" t="str">
            <v>NIFTY25AUGFUT</v>
          </cell>
          <cell r="B19" t="str">
            <v>NIFTY25AUGFUT</v>
          </cell>
          <cell r="C19">
            <v>16410370</v>
          </cell>
          <cell r="D19">
            <v>64103</v>
          </cell>
        </row>
        <row r="20">
          <cell r="A20" t="str">
            <v>BANKNIFTY25JULFUT</v>
          </cell>
          <cell r="B20" t="str">
            <v>BANKNIFTY25JULFUT</v>
          </cell>
          <cell r="C20">
            <v>13622530</v>
          </cell>
          <cell r="D20">
            <v>53213</v>
          </cell>
        </row>
        <row r="21">
          <cell r="A21" t="str">
            <v>BANKNIFTY25AUGFUT</v>
          </cell>
          <cell r="B21" t="str">
            <v>BANKNIFTY25AUGFUT</v>
          </cell>
          <cell r="C21">
            <v>16409602</v>
          </cell>
          <cell r="D21">
            <v>64100</v>
          </cell>
        </row>
        <row r="22">
          <cell r="A22" t="str">
            <v>AARTIIND25JULFUT</v>
          </cell>
          <cell r="B22" t="str">
            <v>AARTIIND25JULFUT</v>
          </cell>
          <cell r="C22">
            <v>13623810</v>
          </cell>
          <cell r="D22">
            <v>53218</v>
          </cell>
        </row>
        <row r="23">
          <cell r="A23" t="str">
            <v>ABB25JULFUT</v>
          </cell>
          <cell r="B23" t="str">
            <v>ABB25JULFUT</v>
          </cell>
          <cell r="C23">
            <v>13624066</v>
          </cell>
          <cell r="D23">
            <v>53219</v>
          </cell>
        </row>
        <row r="24">
          <cell r="A24" t="str">
            <v>ABB25AUGFUT</v>
          </cell>
          <cell r="B24" t="str">
            <v>ABB25AUGFUT</v>
          </cell>
          <cell r="C24">
            <v>16410882</v>
          </cell>
          <cell r="D24">
            <v>64105</v>
          </cell>
        </row>
        <row r="25">
          <cell r="A25" t="str">
            <v>ABCAPITAL25JULFUT</v>
          </cell>
          <cell r="B25" t="str">
            <v>ABCAPITAL25JULFUT</v>
          </cell>
          <cell r="C25">
            <v>13624322</v>
          </cell>
          <cell r="D25">
            <v>53220</v>
          </cell>
        </row>
        <row r="26">
          <cell r="A26" t="str">
            <v>ABCAPITAL25AUGFUT</v>
          </cell>
          <cell r="B26" t="str">
            <v>ABCAPITAL25AUGFUT</v>
          </cell>
          <cell r="C26">
            <v>16411138</v>
          </cell>
          <cell r="D26">
            <v>64106</v>
          </cell>
        </row>
        <row r="27">
          <cell r="A27" t="str">
            <v>ABFRL25JULFUT</v>
          </cell>
          <cell r="B27" t="str">
            <v>ABFRL25JULFUT</v>
          </cell>
          <cell r="C27">
            <v>13624578</v>
          </cell>
          <cell r="D27">
            <v>53221</v>
          </cell>
        </row>
        <row r="28">
          <cell r="A28" t="str">
            <v>ABFRL25AUGFUT</v>
          </cell>
          <cell r="B28" t="str">
            <v>ABFRL25AUGFUT</v>
          </cell>
          <cell r="C28">
            <v>16411394</v>
          </cell>
          <cell r="D28">
            <v>64107</v>
          </cell>
        </row>
        <row r="29">
          <cell r="A29" t="str">
            <v>ACC25JULFUT</v>
          </cell>
          <cell r="B29" t="str">
            <v>ACC25JULFUT</v>
          </cell>
          <cell r="C29">
            <v>13624834</v>
          </cell>
          <cell r="D29">
            <v>53222</v>
          </cell>
        </row>
        <row r="30">
          <cell r="A30" t="str">
            <v>ADANIENSOL25JULFUT</v>
          </cell>
          <cell r="B30" t="str">
            <v>ADANIENSOL25JULFUT</v>
          </cell>
          <cell r="C30">
            <v>13625090</v>
          </cell>
          <cell r="D30">
            <v>53223</v>
          </cell>
        </row>
        <row r="31">
          <cell r="A31" t="str">
            <v>ADANIENSOL25AUGFUT</v>
          </cell>
          <cell r="B31" t="str">
            <v>ADANIENSOL25AUGFUT</v>
          </cell>
          <cell r="C31">
            <v>16411650</v>
          </cell>
          <cell r="D31">
            <v>64108</v>
          </cell>
        </row>
        <row r="32">
          <cell r="A32" t="str">
            <v>ADANIENT25JULFUT</v>
          </cell>
          <cell r="B32" t="str">
            <v>ADANIENT25JULFUT</v>
          </cell>
          <cell r="C32">
            <v>13625346</v>
          </cell>
          <cell r="D32">
            <v>53224</v>
          </cell>
        </row>
        <row r="33">
          <cell r="A33" t="str">
            <v>ADANIENT25AUGFUT</v>
          </cell>
          <cell r="B33" t="str">
            <v>ADANIENT25AUGFUT</v>
          </cell>
          <cell r="C33">
            <v>16411906</v>
          </cell>
          <cell r="D33">
            <v>64109</v>
          </cell>
        </row>
        <row r="34">
          <cell r="A34" t="str">
            <v>ADANIGREEN25JULFUT</v>
          </cell>
          <cell r="B34" t="str">
            <v>ADANIGREEN25JULFUT</v>
          </cell>
          <cell r="C34">
            <v>13625602</v>
          </cell>
          <cell r="D34">
            <v>53225</v>
          </cell>
        </row>
        <row r="35">
          <cell r="A35" t="str">
            <v>ADANIGREEN25AUGFUT</v>
          </cell>
          <cell r="B35" t="str">
            <v>ADANIGREEN25AUGFUT</v>
          </cell>
          <cell r="C35">
            <v>16412162</v>
          </cell>
          <cell r="D35">
            <v>64110</v>
          </cell>
        </row>
        <row r="36">
          <cell r="A36" t="str">
            <v>ADANIPORTS25JULFUT</v>
          </cell>
          <cell r="B36" t="str">
            <v>ADANIPORTS25JULFUT</v>
          </cell>
          <cell r="C36">
            <v>13625858</v>
          </cell>
          <cell r="D36">
            <v>53226</v>
          </cell>
        </row>
        <row r="37">
          <cell r="A37" t="str">
            <v>ADANIPORTS25AUGFUT</v>
          </cell>
          <cell r="B37" t="str">
            <v>ADANIPORTS25AUGFUT</v>
          </cell>
          <cell r="C37">
            <v>16412418</v>
          </cell>
          <cell r="D37">
            <v>64111</v>
          </cell>
        </row>
        <row r="38">
          <cell r="A38" t="str">
            <v>ALKEM25JULFUT</v>
          </cell>
          <cell r="B38" t="str">
            <v>ALKEM25JULFUT</v>
          </cell>
          <cell r="C38">
            <v>13626114</v>
          </cell>
          <cell r="D38">
            <v>53227</v>
          </cell>
        </row>
        <row r="39">
          <cell r="A39" t="str">
            <v>ALKEM25AUGFUT</v>
          </cell>
          <cell r="B39" t="str">
            <v>ALKEM25AUGFUT</v>
          </cell>
          <cell r="C39">
            <v>16412674</v>
          </cell>
          <cell r="D39">
            <v>64112</v>
          </cell>
        </row>
        <row r="40">
          <cell r="A40" t="str">
            <v>AMBUJACEM25JULFUT</v>
          </cell>
          <cell r="B40" t="str">
            <v>AMBUJACEM25JULFUT</v>
          </cell>
          <cell r="C40">
            <v>13628162</v>
          </cell>
          <cell r="D40">
            <v>53235</v>
          </cell>
        </row>
        <row r="41">
          <cell r="A41" t="str">
            <v>AMBUJACEM25AUGFUT</v>
          </cell>
          <cell r="B41" t="str">
            <v>AMBUJACEM25AUGFUT</v>
          </cell>
          <cell r="C41">
            <v>16412930</v>
          </cell>
          <cell r="D41">
            <v>64113</v>
          </cell>
        </row>
        <row r="42">
          <cell r="A42" t="str">
            <v>ANGELONE25JULFUT</v>
          </cell>
          <cell r="B42" t="str">
            <v>ANGELONE25JULFUT</v>
          </cell>
          <cell r="C42">
            <v>13628418</v>
          </cell>
          <cell r="D42">
            <v>53236</v>
          </cell>
        </row>
        <row r="43">
          <cell r="A43" t="str">
            <v>ANGELONE25AUGFUT</v>
          </cell>
          <cell r="B43" t="str">
            <v>ANGELONE25AUGFUT</v>
          </cell>
          <cell r="C43">
            <v>16413186</v>
          </cell>
          <cell r="D43">
            <v>64114</v>
          </cell>
        </row>
        <row r="44">
          <cell r="A44" t="str">
            <v>APLAPOLLO25JULFUT</v>
          </cell>
          <cell r="B44" t="str">
            <v>APLAPOLLO25JULFUT</v>
          </cell>
          <cell r="C44">
            <v>13629442</v>
          </cell>
          <cell r="D44">
            <v>53240</v>
          </cell>
        </row>
        <row r="45">
          <cell r="A45" t="str">
            <v>APLAPOLLO25AUGFUT</v>
          </cell>
          <cell r="B45" t="str">
            <v>APLAPOLLO25AUGFUT</v>
          </cell>
          <cell r="C45">
            <v>16413442</v>
          </cell>
          <cell r="D45">
            <v>64115</v>
          </cell>
        </row>
        <row r="46">
          <cell r="A46" t="str">
            <v>APOLLOHOSP25JULFUT</v>
          </cell>
          <cell r="B46" t="str">
            <v>APOLLOHOSP25JULFUT</v>
          </cell>
          <cell r="C46">
            <v>13629698</v>
          </cell>
          <cell r="D46">
            <v>53241</v>
          </cell>
        </row>
        <row r="47">
          <cell r="A47" t="str">
            <v>APOLLOHOSP25AUGFUT</v>
          </cell>
          <cell r="B47" t="str">
            <v>APOLLOHOSP25AUGFUT</v>
          </cell>
          <cell r="C47">
            <v>16413698</v>
          </cell>
          <cell r="D47">
            <v>64116</v>
          </cell>
        </row>
        <row r="48">
          <cell r="A48" t="str">
            <v>ASHOKLEY25JULFUT</v>
          </cell>
          <cell r="B48" t="str">
            <v>ASHOKLEY25JULFUT</v>
          </cell>
          <cell r="C48">
            <v>13630466</v>
          </cell>
          <cell r="D48">
            <v>53244</v>
          </cell>
        </row>
        <row r="49">
          <cell r="A49" t="str">
            <v>ASHOKLEY25AUGFUT</v>
          </cell>
          <cell r="B49" t="str">
            <v>ASHOKLEY25AUGFUT</v>
          </cell>
          <cell r="C49">
            <v>16413954</v>
          </cell>
          <cell r="D49">
            <v>64117</v>
          </cell>
        </row>
        <row r="50">
          <cell r="A50" t="str">
            <v>ASIANPAINT25JULFUT</v>
          </cell>
          <cell r="B50" t="str">
            <v>ASIANPAINT25JULFUT</v>
          </cell>
          <cell r="C50">
            <v>13630722</v>
          </cell>
          <cell r="D50">
            <v>53245</v>
          </cell>
        </row>
        <row r="51">
          <cell r="A51" t="str">
            <v>ASIANPAINT25AUGFUT</v>
          </cell>
          <cell r="B51" t="str">
            <v>ASIANPAINT25AUGFUT</v>
          </cell>
          <cell r="C51">
            <v>16414210</v>
          </cell>
          <cell r="D51">
            <v>64118</v>
          </cell>
        </row>
        <row r="52">
          <cell r="A52" t="str">
            <v>ASTRAL25JULFUT</v>
          </cell>
          <cell r="B52" t="str">
            <v>ASTRAL25JULFUT</v>
          </cell>
          <cell r="C52">
            <v>13630978</v>
          </cell>
          <cell r="D52">
            <v>53246</v>
          </cell>
        </row>
        <row r="53">
          <cell r="A53" t="str">
            <v>ASTRAL25AUGFUT</v>
          </cell>
          <cell r="B53" t="str">
            <v>ASTRAL25AUGFUT</v>
          </cell>
          <cell r="C53">
            <v>16414466</v>
          </cell>
          <cell r="D53">
            <v>64119</v>
          </cell>
        </row>
        <row r="54">
          <cell r="A54" t="str">
            <v>ATGL25JULFUT</v>
          </cell>
          <cell r="B54" t="str">
            <v>ATGL25JULFUT</v>
          </cell>
          <cell r="C54">
            <v>13631234</v>
          </cell>
          <cell r="D54">
            <v>53247</v>
          </cell>
        </row>
        <row r="55">
          <cell r="A55" t="str">
            <v>ATGL25AUGFUT</v>
          </cell>
          <cell r="B55" t="str">
            <v>ATGL25AUGFUT</v>
          </cell>
          <cell r="C55">
            <v>16414722</v>
          </cell>
          <cell r="D55">
            <v>64120</v>
          </cell>
        </row>
        <row r="56">
          <cell r="A56" t="str">
            <v>AUBANK25JULFUT</v>
          </cell>
          <cell r="B56" t="str">
            <v>AUBANK25JULFUT</v>
          </cell>
          <cell r="C56">
            <v>13631490</v>
          </cell>
          <cell r="D56">
            <v>53248</v>
          </cell>
        </row>
        <row r="57">
          <cell r="A57" t="str">
            <v>AUBANK25AUGFUT</v>
          </cell>
          <cell r="B57" t="str">
            <v>AUBANK25AUGFUT</v>
          </cell>
          <cell r="C57">
            <v>16414978</v>
          </cell>
          <cell r="D57">
            <v>64121</v>
          </cell>
        </row>
        <row r="58">
          <cell r="A58" t="str">
            <v>AUROPHARMA25JULFUT</v>
          </cell>
          <cell r="B58" t="str">
            <v>AUROPHARMA25JULFUT</v>
          </cell>
          <cell r="C58">
            <v>13631746</v>
          </cell>
          <cell r="D58">
            <v>53249</v>
          </cell>
        </row>
        <row r="59">
          <cell r="A59" t="str">
            <v>AUROPHARMA25AUGFUT</v>
          </cell>
          <cell r="B59" t="str">
            <v>AUROPHARMA25AUGFUT</v>
          </cell>
          <cell r="C59">
            <v>16436738</v>
          </cell>
          <cell r="D59">
            <v>64206</v>
          </cell>
        </row>
        <row r="60">
          <cell r="A60" t="str">
            <v>AXISBANK25JULFUT</v>
          </cell>
          <cell r="B60" t="str">
            <v>AXISBANK25JULFUT</v>
          </cell>
          <cell r="C60">
            <v>13632002</v>
          </cell>
          <cell r="D60">
            <v>53250</v>
          </cell>
        </row>
        <row r="61">
          <cell r="A61" t="str">
            <v>AXISBANK25AUGFUT</v>
          </cell>
          <cell r="B61" t="str">
            <v>AXISBANK25AUGFUT</v>
          </cell>
          <cell r="C61">
            <v>16436994</v>
          </cell>
          <cell r="D61">
            <v>64207</v>
          </cell>
        </row>
        <row r="62">
          <cell r="A62" t="str">
            <v>BAJAJ-AUTO25JULFUT</v>
          </cell>
          <cell r="B62" t="str">
            <v>BAJAJ-AUTO25JULFUT</v>
          </cell>
          <cell r="C62">
            <v>13632258</v>
          </cell>
          <cell r="D62">
            <v>53251</v>
          </cell>
        </row>
        <row r="63">
          <cell r="A63" t="str">
            <v>BAJAJ-AUTO25AUGFUT</v>
          </cell>
          <cell r="B63" t="str">
            <v>BAJAJ-AUTO25AUGFUT</v>
          </cell>
          <cell r="C63">
            <v>16439554</v>
          </cell>
          <cell r="D63">
            <v>64217</v>
          </cell>
        </row>
        <row r="64">
          <cell r="A64" t="str">
            <v>BAJAJFINSV25JULFUT</v>
          </cell>
          <cell r="B64" t="str">
            <v>BAJAJFINSV25JULFUT</v>
          </cell>
          <cell r="C64">
            <v>13632514</v>
          </cell>
          <cell r="D64">
            <v>53252</v>
          </cell>
        </row>
        <row r="65">
          <cell r="A65" t="str">
            <v>BAJAJFINSV25AUGFUT</v>
          </cell>
          <cell r="B65" t="str">
            <v>BAJAJFINSV25AUGFUT</v>
          </cell>
          <cell r="C65">
            <v>16440066</v>
          </cell>
          <cell r="D65">
            <v>64219</v>
          </cell>
        </row>
        <row r="66">
          <cell r="A66" t="str">
            <v>BAJFINANCE25JULFUT</v>
          </cell>
          <cell r="B66" t="str">
            <v>BAJFINANCE25JULFUT</v>
          </cell>
          <cell r="C66">
            <v>13632770</v>
          </cell>
          <cell r="D66">
            <v>53253</v>
          </cell>
        </row>
        <row r="67">
          <cell r="A67" t="str">
            <v>BAJFINANCE25AUGFUT</v>
          </cell>
          <cell r="B67" t="str">
            <v>BAJFINANCE25AUGFUT</v>
          </cell>
          <cell r="C67">
            <v>16440322</v>
          </cell>
          <cell r="D67">
            <v>64220</v>
          </cell>
        </row>
        <row r="68">
          <cell r="A68" t="str">
            <v>BALKRISIND25JULFUT</v>
          </cell>
          <cell r="B68" t="str">
            <v>BALKRISIND25JULFUT</v>
          </cell>
          <cell r="C68">
            <v>13633026</v>
          </cell>
          <cell r="D68">
            <v>53254</v>
          </cell>
        </row>
        <row r="69">
          <cell r="A69" t="str">
            <v>BANDHANBNK25JULFUT</v>
          </cell>
          <cell r="B69" t="str">
            <v>BANDHANBNK25JULFUT</v>
          </cell>
          <cell r="C69">
            <v>13633282</v>
          </cell>
          <cell r="D69">
            <v>53255</v>
          </cell>
        </row>
        <row r="70">
          <cell r="A70" t="str">
            <v>BANDHANBNK25AUGFUT</v>
          </cell>
          <cell r="B70" t="str">
            <v>BANDHANBNK25AUGFUT</v>
          </cell>
          <cell r="C70">
            <v>16440578</v>
          </cell>
          <cell r="D70">
            <v>64221</v>
          </cell>
        </row>
        <row r="71">
          <cell r="A71" t="str">
            <v>BANKBARODA25JULFUT</v>
          </cell>
          <cell r="B71" t="str">
            <v>BANKBARODA25JULFUT</v>
          </cell>
          <cell r="C71">
            <v>13633538</v>
          </cell>
          <cell r="D71">
            <v>53256</v>
          </cell>
        </row>
        <row r="72">
          <cell r="A72" t="str">
            <v>BANKBARODA25AUGFUT</v>
          </cell>
          <cell r="B72" t="str">
            <v>BANKBARODA25AUGFUT</v>
          </cell>
          <cell r="C72">
            <v>16440834</v>
          </cell>
          <cell r="D72">
            <v>64222</v>
          </cell>
        </row>
        <row r="73">
          <cell r="A73" t="str">
            <v>BANKINDIA25JULFUT</v>
          </cell>
          <cell r="B73" t="str">
            <v>BANKINDIA25JULFUT</v>
          </cell>
          <cell r="C73">
            <v>13633794</v>
          </cell>
          <cell r="D73">
            <v>53257</v>
          </cell>
        </row>
        <row r="74">
          <cell r="A74" t="str">
            <v>BANKINDIA25AUGFUT</v>
          </cell>
          <cell r="B74" t="str">
            <v>BANKINDIA25AUGFUT</v>
          </cell>
          <cell r="C74">
            <v>16441090</v>
          </cell>
          <cell r="D74">
            <v>64223</v>
          </cell>
        </row>
        <row r="75">
          <cell r="A75" t="str">
            <v>BDL25JULFUT</v>
          </cell>
          <cell r="B75" t="str">
            <v>BDL25JULFUT</v>
          </cell>
          <cell r="C75">
            <v>16441602</v>
          </cell>
          <cell r="D75">
            <v>64225</v>
          </cell>
        </row>
        <row r="76">
          <cell r="A76" t="str">
            <v>BDL25AUGFUT</v>
          </cell>
          <cell r="B76" t="str">
            <v>BDL25AUGFUT</v>
          </cell>
          <cell r="C76">
            <v>16441858</v>
          </cell>
          <cell r="D76">
            <v>64226</v>
          </cell>
        </row>
        <row r="77">
          <cell r="A77" t="str">
            <v>BEL25JULFUT</v>
          </cell>
          <cell r="B77" t="str">
            <v>BEL25JULFUT</v>
          </cell>
          <cell r="C77">
            <v>13634050</v>
          </cell>
          <cell r="D77">
            <v>53258</v>
          </cell>
        </row>
        <row r="78">
          <cell r="A78" t="str">
            <v>BEL25AUGFUT</v>
          </cell>
          <cell r="B78" t="str">
            <v>BEL25AUGFUT</v>
          </cell>
          <cell r="C78">
            <v>16442114</v>
          </cell>
          <cell r="D78">
            <v>64227</v>
          </cell>
        </row>
        <row r="79">
          <cell r="A79" t="str">
            <v>BHARATFORG25JULFUT</v>
          </cell>
          <cell r="B79" t="str">
            <v>BHARATFORG25JULFUT</v>
          </cell>
          <cell r="C79">
            <v>13634306</v>
          </cell>
          <cell r="D79">
            <v>53259</v>
          </cell>
        </row>
        <row r="80">
          <cell r="A80" t="str">
            <v>BHARATFORG25AUGFUT</v>
          </cell>
          <cell r="B80" t="str">
            <v>BHARATFORG25AUGFUT</v>
          </cell>
          <cell r="C80">
            <v>16442370</v>
          </cell>
          <cell r="D80">
            <v>64228</v>
          </cell>
        </row>
        <row r="81">
          <cell r="A81" t="str">
            <v>BHARTIARTL25JULFUT</v>
          </cell>
          <cell r="B81" t="str">
            <v>BHARTIARTL25JULFUT</v>
          </cell>
          <cell r="C81">
            <v>13634562</v>
          </cell>
          <cell r="D81">
            <v>53260</v>
          </cell>
        </row>
        <row r="82">
          <cell r="A82" t="str">
            <v>BHARTIARTL25AUGFUT</v>
          </cell>
          <cell r="B82" t="str">
            <v>BHARTIARTL25AUGFUT</v>
          </cell>
          <cell r="C82">
            <v>16442626</v>
          </cell>
          <cell r="D82">
            <v>64229</v>
          </cell>
        </row>
        <row r="83">
          <cell r="A83" t="str">
            <v>BHEL25JULFUT</v>
          </cell>
          <cell r="B83" t="str">
            <v>BHEL25JULFUT</v>
          </cell>
          <cell r="C83">
            <v>13634818</v>
          </cell>
          <cell r="D83">
            <v>53261</v>
          </cell>
        </row>
        <row r="84">
          <cell r="A84" t="str">
            <v>BHEL25AUGFUT</v>
          </cell>
          <cell r="B84" t="str">
            <v>BHEL25AUGFUT</v>
          </cell>
          <cell r="C84">
            <v>16442882</v>
          </cell>
          <cell r="D84">
            <v>64230</v>
          </cell>
        </row>
        <row r="85">
          <cell r="A85" t="str">
            <v>BIOCON25JULFUT</v>
          </cell>
          <cell r="B85" t="str">
            <v>BIOCON25JULFUT</v>
          </cell>
          <cell r="C85">
            <v>13635074</v>
          </cell>
          <cell r="D85">
            <v>53262</v>
          </cell>
        </row>
        <row r="86">
          <cell r="A86" t="str">
            <v>BIOCON25AUGFUT</v>
          </cell>
          <cell r="B86" t="str">
            <v>BIOCON25AUGFUT</v>
          </cell>
          <cell r="C86">
            <v>16443138</v>
          </cell>
          <cell r="D86">
            <v>64231</v>
          </cell>
        </row>
        <row r="87">
          <cell r="A87" t="str">
            <v>BLUESTARCO25JULFUT</v>
          </cell>
          <cell r="B87" t="str">
            <v>BLUESTARCO25JULFUT</v>
          </cell>
          <cell r="C87">
            <v>16443650</v>
          </cell>
          <cell r="D87">
            <v>64233</v>
          </cell>
        </row>
        <row r="88">
          <cell r="A88" t="str">
            <v>BLUESTARCO25AUGFUT</v>
          </cell>
          <cell r="B88" t="str">
            <v>BLUESTARCO25AUGFUT</v>
          </cell>
          <cell r="C88">
            <v>16447490</v>
          </cell>
          <cell r="D88">
            <v>64248</v>
          </cell>
        </row>
        <row r="89">
          <cell r="A89" t="str">
            <v>BOSCHLTD25JULFUT</v>
          </cell>
          <cell r="B89" t="str">
            <v>BOSCHLTD25JULFUT</v>
          </cell>
          <cell r="C89">
            <v>13635330</v>
          </cell>
          <cell r="D89">
            <v>53263</v>
          </cell>
        </row>
        <row r="90">
          <cell r="A90" t="str">
            <v>BOSCHLTD25AUGFUT</v>
          </cell>
          <cell r="B90" t="str">
            <v>BOSCHLTD25AUGFUT</v>
          </cell>
          <cell r="C90">
            <v>16447746</v>
          </cell>
          <cell r="D90">
            <v>64249</v>
          </cell>
        </row>
        <row r="91">
          <cell r="A91" t="str">
            <v>BPCL25JULFUT</v>
          </cell>
          <cell r="B91" t="str">
            <v>BPCL25JULFUT</v>
          </cell>
          <cell r="C91">
            <v>13635586</v>
          </cell>
          <cell r="D91">
            <v>53264</v>
          </cell>
        </row>
        <row r="92">
          <cell r="A92" t="str">
            <v>BPCL25AUGFUT</v>
          </cell>
          <cell r="B92" t="str">
            <v>BPCL25AUGFUT</v>
          </cell>
          <cell r="C92">
            <v>16479234</v>
          </cell>
          <cell r="D92">
            <v>64372</v>
          </cell>
        </row>
        <row r="93">
          <cell r="A93" t="str">
            <v>BRITANNIA25JULFUT</v>
          </cell>
          <cell r="B93" t="str">
            <v>BRITANNIA25JULFUT</v>
          </cell>
          <cell r="C93">
            <v>13635842</v>
          </cell>
          <cell r="D93">
            <v>53265</v>
          </cell>
        </row>
        <row r="94">
          <cell r="A94" t="str">
            <v>BRITANNIA25AUGFUT</v>
          </cell>
          <cell r="B94" t="str">
            <v>BRITANNIA25AUGFUT</v>
          </cell>
          <cell r="C94">
            <v>16479490</v>
          </cell>
          <cell r="D94">
            <v>64373</v>
          </cell>
        </row>
        <row r="95">
          <cell r="A95" t="str">
            <v>BSE25JULFUT</v>
          </cell>
          <cell r="B95" t="str">
            <v>BSE25JULFUT</v>
          </cell>
          <cell r="C95">
            <v>13636610</v>
          </cell>
          <cell r="D95">
            <v>53268</v>
          </cell>
        </row>
        <row r="96">
          <cell r="A96" t="str">
            <v>BSE25AUGFUT</v>
          </cell>
          <cell r="B96" t="str">
            <v>BSE25AUGFUT</v>
          </cell>
          <cell r="C96">
            <v>16480770</v>
          </cell>
          <cell r="D96">
            <v>64378</v>
          </cell>
        </row>
        <row r="97">
          <cell r="A97" t="str">
            <v>BSOFT25JULFUT</v>
          </cell>
          <cell r="B97" t="str">
            <v>BSOFT25JULFUT</v>
          </cell>
          <cell r="C97">
            <v>13636866</v>
          </cell>
          <cell r="D97">
            <v>53269</v>
          </cell>
        </row>
        <row r="98">
          <cell r="A98" t="str">
            <v>CAMS25JULFUT</v>
          </cell>
          <cell r="B98" t="str">
            <v>CAMS25JULFUT</v>
          </cell>
          <cell r="C98">
            <v>13637122</v>
          </cell>
          <cell r="D98">
            <v>53270</v>
          </cell>
        </row>
        <row r="99">
          <cell r="A99" t="str">
            <v>CAMS25AUGFUT</v>
          </cell>
          <cell r="B99" t="str">
            <v>CAMS25AUGFUT</v>
          </cell>
          <cell r="C99">
            <v>16481026</v>
          </cell>
          <cell r="D99">
            <v>64379</v>
          </cell>
        </row>
        <row r="100">
          <cell r="A100" t="str">
            <v>CANBK25JULFUT</v>
          </cell>
          <cell r="B100" t="str">
            <v>CANBK25JULFUT</v>
          </cell>
          <cell r="C100">
            <v>13637890</v>
          </cell>
          <cell r="D100">
            <v>53273</v>
          </cell>
        </row>
        <row r="101">
          <cell r="A101" t="str">
            <v>CANBK25AUGFUT</v>
          </cell>
          <cell r="B101" t="str">
            <v>CANBK25AUGFUT</v>
          </cell>
          <cell r="C101">
            <v>16481282</v>
          </cell>
          <cell r="D101">
            <v>64380</v>
          </cell>
        </row>
        <row r="102">
          <cell r="A102" t="str">
            <v>CDSL25JULFUT</v>
          </cell>
          <cell r="B102" t="str">
            <v>CDSL25JULFUT</v>
          </cell>
          <cell r="C102">
            <v>13638146</v>
          </cell>
          <cell r="D102">
            <v>53274</v>
          </cell>
        </row>
        <row r="103">
          <cell r="A103" t="str">
            <v>CDSL25AUGFUT</v>
          </cell>
          <cell r="B103" t="str">
            <v>CDSL25AUGFUT</v>
          </cell>
          <cell r="C103">
            <v>16481538</v>
          </cell>
          <cell r="D103">
            <v>64381</v>
          </cell>
        </row>
        <row r="104">
          <cell r="A104" t="str">
            <v>CESC25JULFUT</v>
          </cell>
          <cell r="B104" t="str">
            <v>CESC25JULFUT</v>
          </cell>
          <cell r="C104">
            <v>13638402</v>
          </cell>
          <cell r="D104">
            <v>53275</v>
          </cell>
        </row>
        <row r="105">
          <cell r="A105" t="str">
            <v>CESC25AUGFUT</v>
          </cell>
          <cell r="B105" t="str">
            <v>CESC25AUGFUT</v>
          </cell>
          <cell r="C105">
            <v>16481794</v>
          </cell>
          <cell r="D105">
            <v>64382</v>
          </cell>
        </row>
        <row r="106">
          <cell r="A106" t="str">
            <v>CGPOWER25JULFUT</v>
          </cell>
          <cell r="B106" t="str">
            <v>CGPOWER25JULFUT</v>
          </cell>
          <cell r="C106">
            <v>13638658</v>
          </cell>
          <cell r="D106">
            <v>53276</v>
          </cell>
        </row>
        <row r="107">
          <cell r="A107" t="str">
            <v>CGPOWER25AUGFUT</v>
          </cell>
          <cell r="B107" t="str">
            <v>CGPOWER25AUGFUT</v>
          </cell>
          <cell r="C107">
            <v>16482050</v>
          </cell>
          <cell r="D107">
            <v>64383</v>
          </cell>
        </row>
        <row r="108">
          <cell r="A108" t="str">
            <v>CHAMBLFERT25JULFUT</v>
          </cell>
          <cell r="B108" t="str">
            <v>CHAMBLFERT25JULFUT</v>
          </cell>
          <cell r="C108">
            <v>13638914</v>
          </cell>
          <cell r="D108">
            <v>53277</v>
          </cell>
        </row>
        <row r="109">
          <cell r="A109" t="str">
            <v>CHOLAFIN25JULFUT</v>
          </cell>
          <cell r="B109" t="str">
            <v>CHOLAFIN25JULFUT</v>
          </cell>
          <cell r="C109">
            <v>13639170</v>
          </cell>
          <cell r="D109">
            <v>53278</v>
          </cell>
        </row>
        <row r="110">
          <cell r="A110" t="str">
            <v>CHOLAFIN25AUGFUT</v>
          </cell>
          <cell r="B110" t="str">
            <v>CHOLAFIN25AUGFUT</v>
          </cell>
          <cell r="C110">
            <v>16483074</v>
          </cell>
          <cell r="D110">
            <v>64387</v>
          </cell>
        </row>
        <row r="111">
          <cell r="A111" t="str">
            <v>CIPLA25JULFUT</v>
          </cell>
          <cell r="B111" t="str">
            <v>CIPLA25JULFUT</v>
          </cell>
          <cell r="C111">
            <v>13639426</v>
          </cell>
          <cell r="D111">
            <v>53279</v>
          </cell>
        </row>
        <row r="112">
          <cell r="A112" t="str">
            <v>CIPLA25AUGFUT</v>
          </cell>
          <cell r="B112" t="str">
            <v>CIPLA25AUGFUT</v>
          </cell>
          <cell r="C112">
            <v>16483330</v>
          </cell>
          <cell r="D112">
            <v>64388</v>
          </cell>
        </row>
        <row r="113">
          <cell r="A113" t="str">
            <v>COALINDIA25JULFUT</v>
          </cell>
          <cell r="B113" t="str">
            <v>COALINDIA25JULFUT</v>
          </cell>
          <cell r="C113">
            <v>13639682</v>
          </cell>
          <cell r="D113">
            <v>53280</v>
          </cell>
        </row>
        <row r="114">
          <cell r="A114" t="str">
            <v>COALINDIA25AUGFUT</v>
          </cell>
          <cell r="B114" t="str">
            <v>COALINDIA25AUGFUT</v>
          </cell>
          <cell r="C114">
            <v>16483842</v>
          </cell>
          <cell r="D114">
            <v>64390</v>
          </cell>
        </row>
        <row r="115">
          <cell r="A115" t="str">
            <v>COFORGE25JULFUT</v>
          </cell>
          <cell r="B115" t="str">
            <v>COFORGE25JULFUT</v>
          </cell>
          <cell r="C115">
            <v>13639938</v>
          </cell>
          <cell r="D115">
            <v>53281</v>
          </cell>
        </row>
        <row r="116">
          <cell r="A116" t="str">
            <v>COFORGE25AUGFUT</v>
          </cell>
          <cell r="B116" t="str">
            <v>COFORGE25AUGFUT</v>
          </cell>
          <cell r="C116">
            <v>16484098</v>
          </cell>
          <cell r="D116">
            <v>64391</v>
          </cell>
        </row>
        <row r="117">
          <cell r="A117" t="str">
            <v>COLPAL25JULFUT</v>
          </cell>
          <cell r="B117" t="str">
            <v>COLPAL25JULFUT</v>
          </cell>
          <cell r="C117">
            <v>13640706</v>
          </cell>
          <cell r="D117">
            <v>53284</v>
          </cell>
        </row>
        <row r="118">
          <cell r="A118" t="str">
            <v>COLPAL25AUGFUT</v>
          </cell>
          <cell r="B118" t="str">
            <v>COLPAL25AUGFUT</v>
          </cell>
          <cell r="C118">
            <v>16484354</v>
          </cell>
          <cell r="D118">
            <v>64392</v>
          </cell>
        </row>
        <row r="119">
          <cell r="A119" t="str">
            <v>CONCOR25JULFUT</v>
          </cell>
          <cell r="B119" t="str">
            <v>CONCOR25JULFUT</v>
          </cell>
          <cell r="C119">
            <v>13641986</v>
          </cell>
          <cell r="D119">
            <v>53289</v>
          </cell>
        </row>
        <row r="120">
          <cell r="A120" t="str">
            <v>CONCOR25AUGFUT</v>
          </cell>
          <cell r="B120" t="str">
            <v>CONCOR25AUGFUT</v>
          </cell>
          <cell r="C120">
            <v>16484610</v>
          </cell>
          <cell r="D120">
            <v>64393</v>
          </cell>
        </row>
        <row r="121">
          <cell r="A121" t="str">
            <v>CROMPTON25JULFUT</v>
          </cell>
          <cell r="B121" t="str">
            <v>CROMPTON25JULFUT</v>
          </cell>
          <cell r="C121">
            <v>13642242</v>
          </cell>
          <cell r="D121">
            <v>53290</v>
          </cell>
        </row>
        <row r="122">
          <cell r="A122" t="str">
            <v>CROMPTON25AUGFUT</v>
          </cell>
          <cell r="B122" t="str">
            <v>CROMPTON25AUGFUT</v>
          </cell>
          <cell r="C122">
            <v>16484866</v>
          </cell>
          <cell r="D122">
            <v>64394</v>
          </cell>
        </row>
        <row r="123">
          <cell r="A123" t="str">
            <v>CUMMINSIND25JULFUT</v>
          </cell>
          <cell r="B123" t="str">
            <v>CUMMINSIND25JULFUT</v>
          </cell>
          <cell r="C123">
            <v>13642498</v>
          </cell>
          <cell r="D123">
            <v>53291</v>
          </cell>
        </row>
        <row r="124">
          <cell r="A124" t="str">
            <v>CUMMINSIND25AUGFUT</v>
          </cell>
          <cell r="B124" t="str">
            <v>CUMMINSIND25AUGFUT</v>
          </cell>
          <cell r="C124">
            <v>16485122</v>
          </cell>
          <cell r="D124">
            <v>64395</v>
          </cell>
        </row>
        <row r="125">
          <cell r="A125" t="str">
            <v>CYIENT25JULFUT</v>
          </cell>
          <cell r="B125" t="str">
            <v>CYIENT25JULFUT</v>
          </cell>
          <cell r="C125">
            <v>13642754</v>
          </cell>
          <cell r="D125">
            <v>53292</v>
          </cell>
        </row>
        <row r="126">
          <cell r="A126" t="str">
            <v>CYIENT25AUGFUT</v>
          </cell>
          <cell r="B126" t="str">
            <v>CYIENT25AUGFUT</v>
          </cell>
          <cell r="C126">
            <v>16485378</v>
          </cell>
          <cell r="D126">
            <v>64396</v>
          </cell>
        </row>
        <row r="127">
          <cell r="A127" t="str">
            <v>DABUR25JULFUT</v>
          </cell>
          <cell r="B127" t="str">
            <v>DABUR25JULFUT</v>
          </cell>
          <cell r="C127">
            <v>13643010</v>
          </cell>
          <cell r="D127">
            <v>53293</v>
          </cell>
        </row>
        <row r="128">
          <cell r="A128" t="str">
            <v>DABUR25AUGFUT</v>
          </cell>
          <cell r="B128" t="str">
            <v>DABUR25AUGFUT</v>
          </cell>
          <cell r="C128">
            <v>16485634</v>
          </cell>
          <cell r="D128">
            <v>64397</v>
          </cell>
        </row>
        <row r="129">
          <cell r="A129" t="str">
            <v>DALBHARAT25JULFUT</v>
          </cell>
          <cell r="B129" t="str">
            <v>DALBHARAT25JULFUT</v>
          </cell>
          <cell r="C129">
            <v>13643266</v>
          </cell>
          <cell r="D129">
            <v>53294</v>
          </cell>
        </row>
        <row r="130">
          <cell r="A130" t="str">
            <v>DALBHARAT25AUGFUT</v>
          </cell>
          <cell r="B130" t="str">
            <v>DALBHARAT25AUGFUT</v>
          </cell>
          <cell r="C130">
            <v>16485890</v>
          </cell>
          <cell r="D130">
            <v>64398</v>
          </cell>
        </row>
        <row r="131">
          <cell r="A131" t="str">
            <v>DELHIVERY25JULFUT</v>
          </cell>
          <cell r="B131" t="str">
            <v>DELHIVERY25JULFUT</v>
          </cell>
          <cell r="C131">
            <v>13643522</v>
          </cell>
          <cell r="D131">
            <v>53295</v>
          </cell>
        </row>
        <row r="132">
          <cell r="A132" t="str">
            <v>DELHIVERY25AUGFUT</v>
          </cell>
          <cell r="B132" t="str">
            <v>DELHIVERY25AUGFUT</v>
          </cell>
          <cell r="C132">
            <v>16486146</v>
          </cell>
          <cell r="D132">
            <v>64399</v>
          </cell>
        </row>
        <row r="133">
          <cell r="A133" t="str">
            <v>DIVISLAB25JULFUT</v>
          </cell>
          <cell r="B133" t="str">
            <v>DIVISLAB25JULFUT</v>
          </cell>
          <cell r="C133">
            <v>13643778</v>
          </cell>
          <cell r="D133">
            <v>53296</v>
          </cell>
        </row>
        <row r="134">
          <cell r="A134" t="str">
            <v>DIVISLAB25AUGFUT</v>
          </cell>
          <cell r="B134" t="str">
            <v>DIVISLAB25AUGFUT</v>
          </cell>
          <cell r="C134">
            <v>16486402</v>
          </cell>
          <cell r="D134">
            <v>64400</v>
          </cell>
        </row>
        <row r="135">
          <cell r="A135" t="str">
            <v>DIXON25JULFUT</v>
          </cell>
          <cell r="B135" t="str">
            <v>DIXON25JULFUT</v>
          </cell>
          <cell r="C135">
            <v>13644034</v>
          </cell>
          <cell r="D135">
            <v>53297</v>
          </cell>
        </row>
        <row r="136">
          <cell r="A136" t="str">
            <v>DIXON25AUGFUT</v>
          </cell>
          <cell r="B136" t="str">
            <v>DIXON25AUGFUT</v>
          </cell>
          <cell r="C136">
            <v>16486658</v>
          </cell>
          <cell r="D136">
            <v>64401</v>
          </cell>
        </row>
        <row r="137">
          <cell r="A137" t="str">
            <v>DLF25JULFUT</v>
          </cell>
          <cell r="B137" t="str">
            <v>DLF25JULFUT</v>
          </cell>
          <cell r="C137">
            <v>13644290</v>
          </cell>
          <cell r="D137">
            <v>53298</v>
          </cell>
        </row>
        <row r="138">
          <cell r="A138" t="str">
            <v>DLF25AUGFUT</v>
          </cell>
          <cell r="B138" t="str">
            <v>DLF25AUGFUT</v>
          </cell>
          <cell r="C138">
            <v>16486914</v>
          </cell>
          <cell r="D138">
            <v>64402</v>
          </cell>
        </row>
        <row r="139">
          <cell r="A139" t="str">
            <v>DMART25JULFUT</v>
          </cell>
          <cell r="B139" t="str">
            <v>DMART25JULFUT</v>
          </cell>
          <cell r="C139">
            <v>13644546</v>
          </cell>
          <cell r="D139">
            <v>53299</v>
          </cell>
        </row>
        <row r="140">
          <cell r="A140" t="str">
            <v>DMART25AUGFUT</v>
          </cell>
          <cell r="B140" t="str">
            <v>DMART25AUGFUT</v>
          </cell>
          <cell r="C140">
            <v>16487170</v>
          </cell>
          <cell r="D140">
            <v>64403</v>
          </cell>
        </row>
        <row r="141">
          <cell r="A141" t="str">
            <v>DRREDDY25JULFUT</v>
          </cell>
          <cell r="B141" t="str">
            <v>DRREDDY25JULFUT</v>
          </cell>
          <cell r="C141">
            <v>13644802</v>
          </cell>
          <cell r="D141">
            <v>53300</v>
          </cell>
        </row>
        <row r="142">
          <cell r="A142" t="str">
            <v>DRREDDY25AUGFUT</v>
          </cell>
          <cell r="B142" t="str">
            <v>DRREDDY25AUGFUT</v>
          </cell>
          <cell r="C142">
            <v>16487426</v>
          </cell>
          <cell r="D142">
            <v>64404</v>
          </cell>
        </row>
        <row r="143">
          <cell r="A143" t="str">
            <v>EICHERMOT25JULFUT</v>
          </cell>
          <cell r="B143" t="str">
            <v>EICHERMOT25JULFUT</v>
          </cell>
          <cell r="C143">
            <v>13645058</v>
          </cell>
          <cell r="D143">
            <v>53301</v>
          </cell>
        </row>
        <row r="144">
          <cell r="A144" t="str">
            <v>EICHERMOT25AUGFUT</v>
          </cell>
          <cell r="B144" t="str">
            <v>EICHERMOT25AUGFUT</v>
          </cell>
          <cell r="C144">
            <v>16487682</v>
          </cell>
          <cell r="D144">
            <v>64405</v>
          </cell>
        </row>
        <row r="145">
          <cell r="A145" t="str">
            <v>ETERNAL25JULFUT</v>
          </cell>
          <cell r="B145" t="str">
            <v>ETERNAL25JULFUT</v>
          </cell>
          <cell r="C145">
            <v>13645314</v>
          </cell>
          <cell r="D145">
            <v>53302</v>
          </cell>
        </row>
        <row r="146">
          <cell r="A146" t="str">
            <v>ETERNAL25AUGFUT</v>
          </cell>
          <cell r="B146" t="str">
            <v>ETERNAL25AUGFUT</v>
          </cell>
          <cell r="C146">
            <v>16488194</v>
          </cell>
          <cell r="D146">
            <v>64407</v>
          </cell>
        </row>
        <row r="147">
          <cell r="A147" t="str">
            <v>EXIDEIND25JULFUT</v>
          </cell>
          <cell r="B147" t="str">
            <v>EXIDEIND25JULFUT</v>
          </cell>
          <cell r="C147">
            <v>13645570</v>
          </cell>
          <cell r="D147">
            <v>53303</v>
          </cell>
        </row>
        <row r="148">
          <cell r="A148" t="str">
            <v>EXIDEIND25AUGFUT</v>
          </cell>
          <cell r="B148" t="str">
            <v>EXIDEIND25AUGFUT</v>
          </cell>
          <cell r="C148">
            <v>16488706</v>
          </cell>
          <cell r="D148">
            <v>64409</v>
          </cell>
        </row>
        <row r="149">
          <cell r="A149" t="str">
            <v>FEDERALBNK25JULFUT</v>
          </cell>
          <cell r="B149" t="str">
            <v>FEDERALBNK25JULFUT</v>
          </cell>
          <cell r="C149">
            <v>13645826</v>
          </cell>
          <cell r="D149">
            <v>53304</v>
          </cell>
        </row>
        <row r="150">
          <cell r="A150" t="str">
            <v>FEDERALBNK25AUGFUT</v>
          </cell>
          <cell r="B150" t="str">
            <v>FEDERALBNK25AUGFUT</v>
          </cell>
          <cell r="C150">
            <v>16488962</v>
          </cell>
          <cell r="D150">
            <v>64410</v>
          </cell>
        </row>
        <row r="151">
          <cell r="A151" t="str">
            <v>FINNIFTY25JULFUT</v>
          </cell>
          <cell r="B151" t="str">
            <v>FINNIFTY25JULFUT</v>
          </cell>
          <cell r="C151">
            <v>13622786</v>
          </cell>
          <cell r="D151">
            <v>53214</v>
          </cell>
        </row>
        <row r="152">
          <cell r="A152" t="str">
            <v>FINNIFTY25AUGFUT</v>
          </cell>
          <cell r="B152" t="str">
            <v>FINNIFTY25AUGFUT</v>
          </cell>
          <cell r="C152">
            <v>16409858</v>
          </cell>
          <cell r="D152">
            <v>64101</v>
          </cell>
        </row>
        <row r="153">
          <cell r="A153" t="str">
            <v>FORTIS25JULFUT</v>
          </cell>
          <cell r="B153" t="str">
            <v>FORTIS25JULFUT</v>
          </cell>
          <cell r="C153">
            <v>16489474</v>
          </cell>
          <cell r="D153">
            <v>64412</v>
          </cell>
        </row>
        <row r="154">
          <cell r="A154" t="str">
            <v>FORTIS25AUGFUT</v>
          </cell>
          <cell r="B154" t="str">
            <v>FORTIS25AUGFUT</v>
          </cell>
          <cell r="C154">
            <v>16489730</v>
          </cell>
          <cell r="D154">
            <v>64413</v>
          </cell>
        </row>
        <row r="155">
          <cell r="A155" t="str">
            <v>GAIL25JULFUT</v>
          </cell>
          <cell r="B155" t="str">
            <v>GAIL25JULFUT</v>
          </cell>
          <cell r="C155">
            <v>13646082</v>
          </cell>
          <cell r="D155">
            <v>53305</v>
          </cell>
        </row>
        <row r="156">
          <cell r="A156" t="str">
            <v>GAIL25AUGFUT</v>
          </cell>
          <cell r="B156" t="str">
            <v>GAIL25AUGFUT</v>
          </cell>
          <cell r="C156">
            <v>16489986</v>
          </cell>
          <cell r="D156">
            <v>64414</v>
          </cell>
        </row>
        <row r="157">
          <cell r="A157" t="str">
            <v>GLENMARK25JULFUT</v>
          </cell>
          <cell r="B157" t="str">
            <v>GLENMARK25JULFUT</v>
          </cell>
          <cell r="C157">
            <v>13646338</v>
          </cell>
          <cell r="D157">
            <v>53306</v>
          </cell>
        </row>
        <row r="158">
          <cell r="A158" t="str">
            <v>GLENMARK25AUGFUT</v>
          </cell>
          <cell r="B158" t="str">
            <v>GLENMARK25AUGFUT</v>
          </cell>
          <cell r="C158">
            <v>16490242</v>
          </cell>
          <cell r="D158">
            <v>64415</v>
          </cell>
        </row>
        <row r="159">
          <cell r="A159" t="str">
            <v>GMRAIRPORT25JULFUT</v>
          </cell>
          <cell r="B159" t="str">
            <v>GMRAIRPORT25JULFUT</v>
          </cell>
          <cell r="C159">
            <v>13646594</v>
          </cell>
          <cell r="D159">
            <v>53307</v>
          </cell>
        </row>
        <row r="160">
          <cell r="A160" t="str">
            <v>GMRAIRPORT25AUGFUT</v>
          </cell>
          <cell r="B160" t="str">
            <v>GMRAIRPORT25AUGFUT</v>
          </cell>
          <cell r="C160">
            <v>16490498</v>
          </cell>
          <cell r="D160">
            <v>64416</v>
          </cell>
        </row>
        <row r="161">
          <cell r="A161" t="str">
            <v>GODREJCP25JULFUT</v>
          </cell>
          <cell r="B161" t="str">
            <v>GODREJCP25JULFUT</v>
          </cell>
          <cell r="C161">
            <v>13646850</v>
          </cell>
          <cell r="D161">
            <v>53308</v>
          </cell>
        </row>
        <row r="162">
          <cell r="A162" t="str">
            <v>GODREJCP25AUGFUT</v>
          </cell>
          <cell r="B162" t="str">
            <v>GODREJCP25AUGFUT</v>
          </cell>
          <cell r="C162">
            <v>16490754</v>
          </cell>
          <cell r="D162">
            <v>64417</v>
          </cell>
        </row>
        <row r="163">
          <cell r="A163" t="str">
            <v>GODREJPROP25JULFUT</v>
          </cell>
          <cell r="B163" t="str">
            <v>GODREJPROP25JULFUT</v>
          </cell>
          <cell r="C163">
            <v>13647106</v>
          </cell>
          <cell r="D163">
            <v>53309</v>
          </cell>
        </row>
        <row r="164">
          <cell r="A164" t="str">
            <v>GODREJPROP25AUGFUT</v>
          </cell>
          <cell r="B164" t="str">
            <v>GODREJPROP25AUGFUT</v>
          </cell>
          <cell r="C164">
            <v>16491010</v>
          </cell>
          <cell r="D164">
            <v>64418</v>
          </cell>
        </row>
        <row r="165">
          <cell r="A165" t="str">
            <v>GRANULES25JULFUT</v>
          </cell>
          <cell r="B165" t="str">
            <v>GRANULES25JULFUT</v>
          </cell>
          <cell r="C165">
            <v>13647362</v>
          </cell>
          <cell r="D165">
            <v>53310</v>
          </cell>
        </row>
        <row r="166">
          <cell r="A166" t="str">
            <v>GRANULES25AUGFUT</v>
          </cell>
          <cell r="B166" t="str">
            <v>GRANULES25AUGFUT</v>
          </cell>
          <cell r="C166">
            <v>16491266</v>
          </cell>
          <cell r="D166">
            <v>64419</v>
          </cell>
        </row>
        <row r="167">
          <cell r="A167" t="str">
            <v>GRASIM25JULFUT</v>
          </cell>
          <cell r="B167" t="str">
            <v>GRASIM25JULFUT</v>
          </cell>
          <cell r="C167">
            <v>13647618</v>
          </cell>
          <cell r="D167">
            <v>53311</v>
          </cell>
        </row>
        <row r="168">
          <cell r="A168" t="str">
            <v>GRASIM25AUGFUT</v>
          </cell>
          <cell r="B168" t="str">
            <v>GRASIM25AUGFUT</v>
          </cell>
          <cell r="C168">
            <v>16491522</v>
          </cell>
          <cell r="D168">
            <v>64420</v>
          </cell>
        </row>
        <row r="169">
          <cell r="A169" t="str">
            <v>HAL25JULFUT</v>
          </cell>
          <cell r="B169" t="str">
            <v>HAL25JULFUT</v>
          </cell>
          <cell r="C169">
            <v>13647874</v>
          </cell>
          <cell r="D169">
            <v>53312</v>
          </cell>
        </row>
        <row r="170">
          <cell r="A170" t="str">
            <v>HAL25AUGFUT</v>
          </cell>
          <cell r="B170" t="str">
            <v>HAL25AUGFUT</v>
          </cell>
          <cell r="C170">
            <v>16491778</v>
          </cell>
          <cell r="D170">
            <v>64421</v>
          </cell>
        </row>
        <row r="171">
          <cell r="A171" t="str">
            <v>HAVELLS25JULFUT</v>
          </cell>
          <cell r="B171" t="str">
            <v>HAVELLS25JULFUT</v>
          </cell>
          <cell r="C171">
            <v>13648130</v>
          </cell>
          <cell r="D171">
            <v>53313</v>
          </cell>
        </row>
        <row r="172">
          <cell r="A172" t="str">
            <v>HAVELLS25AUGFUT</v>
          </cell>
          <cell r="B172" t="str">
            <v>HAVELLS25AUGFUT</v>
          </cell>
          <cell r="C172">
            <v>16492034</v>
          </cell>
          <cell r="D172">
            <v>64422</v>
          </cell>
        </row>
        <row r="173">
          <cell r="A173" t="str">
            <v>HCLTECH25JULFUT</v>
          </cell>
          <cell r="B173" t="str">
            <v>HCLTECH25JULFUT</v>
          </cell>
          <cell r="C173">
            <v>13648386</v>
          </cell>
          <cell r="D173">
            <v>53314</v>
          </cell>
        </row>
        <row r="174">
          <cell r="A174" t="str">
            <v>HCLTECH25AUGFUT</v>
          </cell>
          <cell r="B174" t="str">
            <v>HCLTECH25AUGFUT</v>
          </cell>
          <cell r="C174">
            <v>16492290</v>
          </cell>
          <cell r="D174">
            <v>64423</v>
          </cell>
        </row>
        <row r="175">
          <cell r="A175" t="str">
            <v>HDFCAMC25JULFUT</v>
          </cell>
          <cell r="B175" t="str">
            <v>HDFCAMC25JULFUT</v>
          </cell>
          <cell r="C175">
            <v>13648642</v>
          </cell>
          <cell r="D175">
            <v>53315</v>
          </cell>
        </row>
        <row r="176">
          <cell r="A176" t="str">
            <v>HDFCAMC25AUGFUT</v>
          </cell>
          <cell r="B176" t="str">
            <v>HDFCAMC25AUGFUT</v>
          </cell>
          <cell r="C176">
            <v>16492546</v>
          </cell>
          <cell r="D176">
            <v>64424</v>
          </cell>
        </row>
        <row r="177">
          <cell r="A177" t="str">
            <v>HDFCBANK25JULFUT</v>
          </cell>
          <cell r="B177" t="str">
            <v>HDFCBANK25JULFUT</v>
          </cell>
          <cell r="C177">
            <v>13648898</v>
          </cell>
          <cell r="D177">
            <v>53316</v>
          </cell>
        </row>
        <row r="178">
          <cell r="A178" t="str">
            <v>HDFCBANK25AUGFUT</v>
          </cell>
          <cell r="B178" t="str">
            <v>HDFCBANK25AUGFUT</v>
          </cell>
          <cell r="C178">
            <v>16492802</v>
          </cell>
          <cell r="D178">
            <v>64425</v>
          </cell>
        </row>
        <row r="179">
          <cell r="A179" t="str">
            <v>HDFCLIFE25JULFUT</v>
          </cell>
          <cell r="B179" t="str">
            <v>HDFCLIFE25JULFUT</v>
          </cell>
          <cell r="C179">
            <v>13649154</v>
          </cell>
          <cell r="D179">
            <v>53317</v>
          </cell>
        </row>
        <row r="180">
          <cell r="A180" t="str">
            <v>HDFCLIFE25AUGFUT</v>
          </cell>
          <cell r="B180" t="str">
            <v>HDFCLIFE25AUGFUT</v>
          </cell>
          <cell r="C180">
            <v>16493058</v>
          </cell>
          <cell r="D180">
            <v>64426</v>
          </cell>
        </row>
        <row r="181">
          <cell r="A181" t="str">
            <v>HEROMOTOCO25JULFUT</v>
          </cell>
          <cell r="B181" t="str">
            <v>HEROMOTOCO25JULFUT</v>
          </cell>
          <cell r="C181">
            <v>13649410</v>
          </cell>
          <cell r="D181">
            <v>53318</v>
          </cell>
        </row>
        <row r="182">
          <cell r="A182" t="str">
            <v>HEROMOTOCO25AUGFUT</v>
          </cell>
          <cell r="B182" t="str">
            <v>HEROMOTOCO25AUGFUT</v>
          </cell>
          <cell r="C182">
            <v>16493314</v>
          </cell>
          <cell r="D182">
            <v>64427</v>
          </cell>
        </row>
        <row r="183">
          <cell r="A183" t="str">
            <v>HFCL25JULFUT</v>
          </cell>
          <cell r="B183" t="str">
            <v>HFCL25JULFUT</v>
          </cell>
          <cell r="C183">
            <v>13649666</v>
          </cell>
          <cell r="D183">
            <v>53319</v>
          </cell>
        </row>
        <row r="184">
          <cell r="A184" t="str">
            <v>HFCL25AUGFUT</v>
          </cell>
          <cell r="B184" t="str">
            <v>HFCL25AUGFUT</v>
          </cell>
          <cell r="C184">
            <v>16493570</v>
          </cell>
          <cell r="D184">
            <v>64428</v>
          </cell>
        </row>
        <row r="185">
          <cell r="A185" t="str">
            <v>HINDALCO25JULFUT</v>
          </cell>
          <cell r="B185" t="str">
            <v>HINDALCO25JULFUT</v>
          </cell>
          <cell r="C185">
            <v>13650178</v>
          </cell>
          <cell r="D185">
            <v>53321</v>
          </cell>
        </row>
        <row r="186">
          <cell r="A186" t="str">
            <v>HINDALCO25AUGFUT</v>
          </cell>
          <cell r="B186" t="str">
            <v>HINDALCO25AUGFUT</v>
          </cell>
          <cell r="C186">
            <v>16493826</v>
          </cell>
          <cell r="D186">
            <v>64429</v>
          </cell>
        </row>
        <row r="187">
          <cell r="A187" t="str">
            <v>HINDCOPPER25JULFUT</v>
          </cell>
          <cell r="B187" t="str">
            <v>HINDCOPPER25JULFUT</v>
          </cell>
          <cell r="C187">
            <v>13650434</v>
          </cell>
          <cell r="D187">
            <v>53322</v>
          </cell>
        </row>
        <row r="188">
          <cell r="A188" t="str">
            <v>HINDPETRO25JULFUT</v>
          </cell>
          <cell r="B188" t="str">
            <v>HINDPETRO25JULFUT</v>
          </cell>
          <cell r="C188">
            <v>13650690</v>
          </cell>
          <cell r="D188">
            <v>53323</v>
          </cell>
        </row>
        <row r="189">
          <cell r="A189" t="str">
            <v>HINDPETRO25AUGFUT</v>
          </cell>
          <cell r="B189" t="str">
            <v>HINDPETRO25AUGFUT</v>
          </cell>
          <cell r="C189">
            <v>16494082</v>
          </cell>
          <cell r="D189">
            <v>64430</v>
          </cell>
        </row>
        <row r="190">
          <cell r="A190" t="str">
            <v>HINDUNILVR25JULFUT</v>
          </cell>
          <cell r="B190" t="str">
            <v>HINDUNILVR25JULFUT</v>
          </cell>
          <cell r="C190">
            <v>13650946</v>
          </cell>
          <cell r="D190">
            <v>53324</v>
          </cell>
        </row>
        <row r="191">
          <cell r="A191" t="str">
            <v>HINDUNILVR25AUGFUT</v>
          </cell>
          <cell r="B191" t="str">
            <v>HINDUNILVR25AUGFUT</v>
          </cell>
          <cell r="C191">
            <v>16494338</v>
          </cell>
          <cell r="D191">
            <v>64431</v>
          </cell>
        </row>
        <row r="192">
          <cell r="A192" t="str">
            <v>HINDZINC25JULFUT</v>
          </cell>
          <cell r="B192" t="str">
            <v>HINDZINC25JULFUT</v>
          </cell>
          <cell r="C192">
            <v>13651202</v>
          </cell>
          <cell r="D192">
            <v>53325</v>
          </cell>
        </row>
        <row r="193">
          <cell r="A193" t="str">
            <v>HINDZINC25AUGFUT</v>
          </cell>
          <cell r="B193" t="str">
            <v>HINDZINC25AUGFUT</v>
          </cell>
          <cell r="C193">
            <v>16494594</v>
          </cell>
          <cell r="D193">
            <v>64432</v>
          </cell>
        </row>
        <row r="194">
          <cell r="A194" t="str">
            <v>HUDCO25JULFUT</v>
          </cell>
          <cell r="B194" t="str">
            <v>HUDCO25JULFUT</v>
          </cell>
          <cell r="C194">
            <v>13651458</v>
          </cell>
          <cell r="D194">
            <v>53326</v>
          </cell>
        </row>
        <row r="195">
          <cell r="A195" t="str">
            <v>HUDCO25AUGFUT</v>
          </cell>
          <cell r="B195" t="str">
            <v>HUDCO25AUGFUT</v>
          </cell>
          <cell r="C195">
            <v>16494850</v>
          </cell>
          <cell r="D195">
            <v>64433</v>
          </cell>
        </row>
        <row r="196">
          <cell r="A196" t="str">
            <v>ICICIBANK25JULFUT</v>
          </cell>
          <cell r="B196" t="str">
            <v>ICICIBANK25JULFUT</v>
          </cell>
          <cell r="C196">
            <v>13651714</v>
          </cell>
          <cell r="D196">
            <v>53327</v>
          </cell>
        </row>
        <row r="197">
          <cell r="A197" t="str">
            <v>ICICIBANK25AUGFUT</v>
          </cell>
          <cell r="B197" t="str">
            <v>ICICIBANK25AUGFUT</v>
          </cell>
          <cell r="C197">
            <v>16495106</v>
          </cell>
          <cell r="D197">
            <v>64434</v>
          </cell>
        </row>
        <row r="198">
          <cell r="A198" t="str">
            <v>ICICIGI25JULFUT</v>
          </cell>
          <cell r="B198" t="str">
            <v>ICICIGI25JULFUT</v>
          </cell>
          <cell r="C198">
            <v>13651970</v>
          </cell>
          <cell r="D198">
            <v>53328</v>
          </cell>
        </row>
        <row r="199">
          <cell r="A199" t="str">
            <v>ICICIGI25AUGFUT</v>
          </cell>
          <cell r="B199" t="str">
            <v>ICICIGI25AUGFUT</v>
          </cell>
          <cell r="C199">
            <v>16495362</v>
          </cell>
          <cell r="D199">
            <v>64435</v>
          </cell>
        </row>
        <row r="200">
          <cell r="A200" t="str">
            <v>ICICIPRULI25JULFUT</v>
          </cell>
          <cell r="B200" t="str">
            <v>ICICIPRULI25JULFUT</v>
          </cell>
          <cell r="C200">
            <v>13652226</v>
          </cell>
          <cell r="D200">
            <v>53329</v>
          </cell>
        </row>
        <row r="201">
          <cell r="A201" t="str">
            <v>ICICIPRULI25AUGFUT</v>
          </cell>
          <cell r="B201" t="str">
            <v>ICICIPRULI25AUGFUT</v>
          </cell>
          <cell r="C201">
            <v>16495618</v>
          </cell>
          <cell r="D201">
            <v>64436</v>
          </cell>
        </row>
        <row r="202">
          <cell r="A202" t="str">
            <v>IDEA25JULFUT</v>
          </cell>
          <cell r="B202" t="str">
            <v>IDEA25JULFUT</v>
          </cell>
          <cell r="C202">
            <v>13652482</v>
          </cell>
          <cell r="D202">
            <v>53330</v>
          </cell>
        </row>
        <row r="203">
          <cell r="A203" t="str">
            <v>IDEA25AUGFUT</v>
          </cell>
          <cell r="B203" t="str">
            <v>IDEA25AUGFUT</v>
          </cell>
          <cell r="C203">
            <v>16495874</v>
          </cell>
          <cell r="D203">
            <v>64437</v>
          </cell>
        </row>
        <row r="204">
          <cell r="A204" t="str">
            <v>IDFCFIRSTB25JULFUT</v>
          </cell>
          <cell r="B204" t="str">
            <v>IDFCFIRSTB25JULFUT</v>
          </cell>
          <cell r="C204">
            <v>13653506</v>
          </cell>
          <cell r="D204">
            <v>53334</v>
          </cell>
        </row>
        <row r="205">
          <cell r="A205" t="str">
            <v>IDFCFIRSTB25AUGFUT</v>
          </cell>
          <cell r="B205" t="str">
            <v>IDFCFIRSTB25AUGFUT</v>
          </cell>
          <cell r="C205">
            <v>16496130</v>
          </cell>
          <cell r="D205">
            <v>64438</v>
          </cell>
        </row>
        <row r="206">
          <cell r="A206" t="str">
            <v>IEX25JULFUT</v>
          </cell>
          <cell r="B206" t="str">
            <v>IEX25JULFUT</v>
          </cell>
          <cell r="C206">
            <v>13653762</v>
          </cell>
          <cell r="D206">
            <v>53335</v>
          </cell>
        </row>
        <row r="207">
          <cell r="A207" t="str">
            <v>IEX25AUGFUT</v>
          </cell>
          <cell r="B207" t="str">
            <v>IEX25AUGFUT</v>
          </cell>
          <cell r="C207">
            <v>16496386</v>
          </cell>
          <cell r="D207">
            <v>64439</v>
          </cell>
        </row>
        <row r="208">
          <cell r="A208" t="str">
            <v>IGL25JULFUT</v>
          </cell>
          <cell r="B208" t="str">
            <v>IGL25JULFUT</v>
          </cell>
          <cell r="C208">
            <v>13654018</v>
          </cell>
          <cell r="D208">
            <v>53336</v>
          </cell>
        </row>
        <row r="209">
          <cell r="A209" t="str">
            <v>IGL25AUGFUT</v>
          </cell>
          <cell r="B209" t="str">
            <v>IGL25AUGFUT</v>
          </cell>
          <cell r="C209">
            <v>16496642</v>
          </cell>
          <cell r="D209">
            <v>64440</v>
          </cell>
        </row>
        <row r="210">
          <cell r="A210" t="str">
            <v>IIFL25JULFUT</v>
          </cell>
          <cell r="B210" t="str">
            <v>IIFL25JULFUT</v>
          </cell>
          <cell r="C210">
            <v>13654274</v>
          </cell>
          <cell r="D210">
            <v>53337</v>
          </cell>
        </row>
        <row r="211">
          <cell r="A211" t="str">
            <v>IIFL25AUGFUT</v>
          </cell>
          <cell r="B211" t="str">
            <v>IIFL25AUGFUT</v>
          </cell>
          <cell r="C211">
            <v>16496898</v>
          </cell>
          <cell r="D211">
            <v>64441</v>
          </cell>
        </row>
        <row r="212">
          <cell r="A212" t="str">
            <v>INDHOTEL25JULFUT</v>
          </cell>
          <cell r="B212" t="str">
            <v>INDHOTEL25JULFUT</v>
          </cell>
          <cell r="C212">
            <v>13654530</v>
          </cell>
          <cell r="D212">
            <v>53338</v>
          </cell>
        </row>
        <row r="213">
          <cell r="A213" t="str">
            <v>INDHOTEL25AUGFUT</v>
          </cell>
          <cell r="B213" t="str">
            <v>INDHOTEL25AUGFUT</v>
          </cell>
          <cell r="C213">
            <v>16497154</v>
          </cell>
          <cell r="D213">
            <v>64442</v>
          </cell>
        </row>
        <row r="214">
          <cell r="A214" t="str">
            <v>INDIANB25JULFUT</v>
          </cell>
          <cell r="B214" t="str">
            <v>INDIANB25JULFUT</v>
          </cell>
          <cell r="C214">
            <v>13654786</v>
          </cell>
          <cell r="D214">
            <v>53339</v>
          </cell>
        </row>
        <row r="215">
          <cell r="A215" t="str">
            <v>INDIANB25AUGFUT</v>
          </cell>
          <cell r="B215" t="str">
            <v>INDIANB25AUGFUT</v>
          </cell>
          <cell r="C215">
            <v>16497410</v>
          </cell>
          <cell r="D215">
            <v>64443</v>
          </cell>
        </row>
        <row r="216">
          <cell r="A216" t="str">
            <v>INDIGO25JULFUT</v>
          </cell>
          <cell r="B216" t="str">
            <v>INDIGO25JULFUT</v>
          </cell>
          <cell r="C216">
            <v>13655042</v>
          </cell>
          <cell r="D216">
            <v>53340</v>
          </cell>
        </row>
        <row r="217">
          <cell r="A217" t="str">
            <v>INDIGO25AUGFUT</v>
          </cell>
          <cell r="B217" t="str">
            <v>INDIGO25AUGFUT</v>
          </cell>
          <cell r="C217">
            <v>16499458</v>
          </cell>
          <cell r="D217">
            <v>64451</v>
          </cell>
        </row>
        <row r="218">
          <cell r="A218" t="str">
            <v>INDUSINDBK25JULFUT</v>
          </cell>
          <cell r="B218" t="str">
            <v>INDUSINDBK25JULFUT</v>
          </cell>
          <cell r="C218">
            <v>13655298</v>
          </cell>
          <cell r="D218">
            <v>53341</v>
          </cell>
        </row>
        <row r="219">
          <cell r="A219" t="str">
            <v>INDUSINDBK25AUGFUT</v>
          </cell>
          <cell r="B219" t="str">
            <v>INDUSINDBK25AUGFUT</v>
          </cell>
          <cell r="C219">
            <v>16499714</v>
          </cell>
          <cell r="D219">
            <v>64452</v>
          </cell>
        </row>
        <row r="220">
          <cell r="A220" t="str">
            <v>INDUSTOWER25JULFUT</v>
          </cell>
          <cell r="B220" t="str">
            <v>INDUSTOWER25JULFUT</v>
          </cell>
          <cell r="C220">
            <v>13655554</v>
          </cell>
          <cell r="D220">
            <v>53342</v>
          </cell>
        </row>
        <row r="221">
          <cell r="A221" t="str">
            <v>INDUSTOWER25AUGFUT</v>
          </cell>
          <cell r="B221" t="str">
            <v>INDUSTOWER25AUGFUT</v>
          </cell>
          <cell r="C221">
            <v>16499970</v>
          </cell>
          <cell r="D221">
            <v>64453</v>
          </cell>
        </row>
        <row r="222">
          <cell r="A222" t="str">
            <v>INFY25JULFUT</v>
          </cell>
          <cell r="B222" t="str">
            <v>INFY25JULFUT</v>
          </cell>
          <cell r="C222">
            <v>13655810</v>
          </cell>
          <cell r="D222">
            <v>53343</v>
          </cell>
        </row>
        <row r="223">
          <cell r="A223" t="str">
            <v>INFY25AUGFUT</v>
          </cell>
          <cell r="B223" t="str">
            <v>INFY25AUGFUT</v>
          </cell>
          <cell r="C223">
            <v>16500226</v>
          </cell>
          <cell r="D223">
            <v>64454</v>
          </cell>
        </row>
        <row r="224">
          <cell r="A224" t="str">
            <v>INOXWIND25JULFUT</v>
          </cell>
          <cell r="B224" t="str">
            <v>INOXWIND25JULFUT</v>
          </cell>
          <cell r="C224">
            <v>13656066</v>
          </cell>
          <cell r="D224">
            <v>53344</v>
          </cell>
        </row>
        <row r="225">
          <cell r="A225" t="str">
            <v>INOXWIND25AUGFUT</v>
          </cell>
          <cell r="B225" t="str">
            <v>INOXWIND25AUGFUT</v>
          </cell>
          <cell r="C225">
            <v>16500738</v>
          </cell>
          <cell r="D225">
            <v>64456</v>
          </cell>
        </row>
        <row r="226">
          <cell r="A226" t="str">
            <v>IOC25JULFUT</v>
          </cell>
          <cell r="B226" t="str">
            <v>IOC25JULFUT</v>
          </cell>
          <cell r="C226">
            <v>13656322</v>
          </cell>
          <cell r="D226">
            <v>53345</v>
          </cell>
        </row>
        <row r="227">
          <cell r="A227" t="str">
            <v>IOC25AUGFUT</v>
          </cell>
          <cell r="B227" t="str">
            <v>IOC25AUGFUT</v>
          </cell>
          <cell r="C227">
            <v>16500994</v>
          </cell>
          <cell r="D227">
            <v>64457</v>
          </cell>
        </row>
        <row r="228">
          <cell r="A228" t="str">
            <v>IRB25JULFUT</v>
          </cell>
          <cell r="B228" t="str">
            <v>IRB25JULFUT</v>
          </cell>
          <cell r="C228">
            <v>13656578</v>
          </cell>
          <cell r="D228">
            <v>53346</v>
          </cell>
        </row>
        <row r="229">
          <cell r="A229" t="str">
            <v>IRB25AUGFUT</v>
          </cell>
          <cell r="B229" t="str">
            <v>IRB25AUGFUT</v>
          </cell>
          <cell r="C229">
            <v>16524034</v>
          </cell>
          <cell r="D229">
            <v>64547</v>
          </cell>
        </row>
        <row r="230">
          <cell r="A230" t="str">
            <v>IRCTC25JULFUT</v>
          </cell>
          <cell r="B230" t="str">
            <v>IRCTC25JULFUT</v>
          </cell>
          <cell r="C230">
            <v>13656834</v>
          </cell>
          <cell r="D230">
            <v>53347</v>
          </cell>
        </row>
        <row r="231">
          <cell r="A231" t="str">
            <v>IRCTC25AUGFUT</v>
          </cell>
          <cell r="B231" t="str">
            <v>IRCTC25AUGFUT</v>
          </cell>
          <cell r="C231">
            <v>16524290</v>
          </cell>
          <cell r="D231">
            <v>64548</v>
          </cell>
        </row>
        <row r="232">
          <cell r="A232" t="str">
            <v>IREDA25JULFUT</v>
          </cell>
          <cell r="B232" t="str">
            <v>IREDA25JULFUT</v>
          </cell>
          <cell r="C232">
            <v>13657090</v>
          </cell>
          <cell r="D232">
            <v>53348</v>
          </cell>
        </row>
        <row r="233">
          <cell r="A233" t="str">
            <v>IREDA25AUGFUT</v>
          </cell>
          <cell r="B233" t="str">
            <v>IREDA25AUGFUT</v>
          </cell>
          <cell r="C233">
            <v>16540930</v>
          </cell>
          <cell r="D233">
            <v>64613</v>
          </cell>
        </row>
        <row r="234">
          <cell r="A234" t="str">
            <v>IRFC25JULFUT</v>
          </cell>
          <cell r="B234" t="str">
            <v>IRFC25JULFUT</v>
          </cell>
          <cell r="C234">
            <v>13657858</v>
          </cell>
          <cell r="D234">
            <v>53351</v>
          </cell>
        </row>
        <row r="235">
          <cell r="A235" t="str">
            <v>IRFC25AUGFUT</v>
          </cell>
          <cell r="B235" t="str">
            <v>IRFC25AUGFUT</v>
          </cell>
          <cell r="C235">
            <v>16541186</v>
          </cell>
          <cell r="D235">
            <v>64614</v>
          </cell>
        </row>
        <row r="236">
          <cell r="A236" t="str">
            <v>ITC25JULFUT</v>
          </cell>
          <cell r="B236" t="str">
            <v>ITC25JULFUT</v>
          </cell>
          <cell r="C236">
            <v>13658114</v>
          </cell>
          <cell r="D236">
            <v>53352</v>
          </cell>
        </row>
        <row r="237">
          <cell r="A237" t="str">
            <v>ITC25AUGFUT</v>
          </cell>
          <cell r="B237" t="str">
            <v>ITC25AUGFUT</v>
          </cell>
          <cell r="C237">
            <v>16541442</v>
          </cell>
          <cell r="D237">
            <v>64615</v>
          </cell>
        </row>
        <row r="238">
          <cell r="A238" t="str">
            <v>JINDALSTEL25JULFUT</v>
          </cell>
          <cell r="B238" t="str">
            <v>JINDALSTEL25JULFUT</v>
          </cell>
          <cell r="C238">
            <v>13658370</v>
          </cell>
          <cell r="D238">
            <v>53353</v>
          </cell>
        </row>
        <row r="239">
          <cell r="A239" t="str">
            <v>JINDALSTEL25AUGFUT</v>
          </cell>
          <cell r="B239" t="str">
            <v>JINDALSTEL25AUGFUT</v>
          </cell>
          <cell r="C239">
            <v>16541698</v>
          </cell>
          <cell r="D239">
            <v>64616</v>
          </cell>
        </row>
        <row r="240">
          <cell r="A240" t="str">
            <v>JIOFIN25JULFUT</v>
          </cell>
          <cell r="B240" t="str">
            <v>JIOFIN25JULFUT</v>
          </cell>
          <cell r="C240">
            <v>13658626</v>
          </cell>
          <cell r="D240">
            <v>53354</v>
          </cell>
        </row>
        <row r="241">
          <cell r="A241" t="str">
            <v>JIOFIN25AUGFUT</v>
          </cell>
          <cell r="B241" t="str">
            <v>JIOFIN25AUGFUT</v>
          </cell>
          <cell r="C241">
            <v>16541954</v>
          </cell>
          <cell r="D241">
            <v>64617</v>
          </cell>
        </row>
        <row r="242">
          <cell r="A242" t="str">
            <v>JSL25JULFUT</v>
          </cell>
          <cell r="B242" t="str">
            <v>JSL25JULFUT</v>
          </cell>
          <cell r="C242">
            <v>13658882</v>
          </cell>
          <cell r="D242">
            <v>53355</v>
          </cell>
        </row>
        <row r="243">
          <cell r="A243" t="str">
            <v>JSL25AUGFUT</v>
          </cell>
          <cell r="B243" t="str">
            <v>JSL25AUGFUT</v>
          </cell>
          <cell r="C243">
            <v>16542210</v>
          </cell>
          <cell r="D243">
            <v>64618</v>
          </cell>
        </row>
        <row r="244">
          <cell r="A244" t="str">
            <v>JSWENERGY25JULFUT</v>
          </cell>
          <cell r="B244" t="str">
            <v>JSWENERGY25JULFUT</v>
          </cell>
          <cell r="C244">
            <v>13659650</v>
          </cell>
          <cell r="D244">
            <v>53358</v>
          </cell>
        </row>
        <row r="245">
          <cell r="A245" t="str">
            <v>JSWENERGY25AUGFUT</v>
          </cell>
          <cell r="B245" t="str">
            <v>JSWENERGY25AUGFUT</v>
          </cell>
          <cell r="C245">
            <v>16542466</v>
          </cell>
          <cell r="D245">
            <v>64619</v>
          </cell>
        </row>
        <row r="246">
          <cell r="A246" t="str">
            <v>JSWSTEEL25JULFUT</v>
          </cell>
          <cell r="B246" t="str">
            <v>JSWSTEEL25JULFUT</v>
          </cell>
          <cell r="C246">
            <v>13659906</v>
          </cell>
          <cell r="D246">
            <v>53359</v>
          </cell>
        </row>
        <row r="247">
          <cell r="A247" t="str">
            <v>JSWSTEEL25AUGFUT</v>
          </cell>
          <cell r="B247" t="str">
            <v>JSWSTEEL25AUGFUT</v>
          </cell>
          <cell r="C247">
            <v>16542722</v>
          </cell>
          <cell r="D247">
            <v>64620</v>
          </cell>
        </row>
        <row r="248">
          <cell r="A248" t="str">
            <v>JUBLFOOD25JULFUT</v>
          </cell>
          <cell r="B248" t="str">
            <v>JUBLFOOD25JULFUT</v>
          </cell>
          <cell r="C248">
            <v>13661698</v>
          </cell>
          <cell r="D248">
            <v>53366</v>
          </cell>
        </row>
        <row r="249">
          <cell r="A249" t="str">
            <v>JUBLFOOD25AUGFUT</v>
          </cell>
          <cell r="B249" t="str">
            <v>JUBLFOOD25AUGFUT</v>
          </cell>
          <cell r="C249">
            <v>16542978</v>
          </cell>
          <cell r="D249">
            <v>64621</v>
          </cell>
        </row>
        <row r="250">
          <cell r="A250" t="str">
            <v>KALYANKJIL25JULFUT</v>
          </cell>
          <cell r="B250" t="str">
            <v>KALYANKJIL25JULFUT</v>
          </cell>
          <cell r="C250">
            <v>13661954</v>
          </cell>
          <cell r="D250">
            <v>53367</v>
          </cell>
        </row>
        <row r="251">
          <cell r="A251" t="str">
            <v>KALYANKJIL25AUGFUT</v>
          </cell>
          <cell r="B251" t="str">
            <v>KALYANKJIL25AUGFUT</v>
          </cell>
          <cell r="C251">
            <v>16543234</v>
          </cell>
          <cell r="D251">
            <v>64622</v>
          </cell>
        </row>
        <row r="252">
          <cell r="A252" t="str">
            <v>KAYNES25JULFUT</v>
          </cell>
          <cell r="B252" t="str">
            <v>KAYNES25JULFUT</v>
          </cell>
          <cell r="C252">
            <v>16543746</v>
          </cell>
          <cell r="D252">
            <v>64624</v>
          </cell>
        </row>
        <row r="253">
          <cell r="A253" t="str">
            <v>KAYNES25AUGFUT</v>
          </cell>
          <cell r="B253" t="str">
            <v>KAYNES25AUGFUT</v>
          </cell>
          <cell r="C253">
            <v>16544002</v>
          </cell>
          <cell r="D253">
            <v>64625</v>
          </cell>
        </row>
        <row r="254">
          <cell r="A254" t="str">
            <v>KEI25JULFUT</v>
          </cell>
          <cell r="B254" t="str">
            <v>KEI25JULFUT</v>
          </cell>
          <cell r="C254">
            <v>13662210</v>
          </cell>
          <cell r="D254">
            <v>53368</v>
          </cell>
        </row>
        <row r="255">
          <cell r="A255" t="str">
            <v>KEI25AUGFUT</v>
          </cell>
          <cell r="B255" t="str">
            <v>KEI25AUGFUT</v>
          </cell>
          <cell r="C255">
            <v>16544258</v>
          </cell>
          <cell r="D255">
            <v>64626</v>
          </cell>
        </row>
        <row r="256">
          <cell r="A256" t="str">
            <v>KOTAKBANK25JULFUT</v>
          </cell>
          <cell r="B256" t="str">
            <v>KOTAKBANK25JULFUT</v>
          </cell>
          <cell r="C256">
            <v>13662466</v>
          </cell>
          <cell r="D256">
            <v>53369</v>
          </cell>
        </row>
        <row r="257">
          <cell r="A257" t="str">
            <v>KOTAKBANK25AUGFUT</v>
          </cell>
          <cell r="B257" t="str">
            <v>KOTAKBANK25AUGFUT</v>
          </cell>
          <cell r="C257">
            <v>16544514</v>
          </cell>
          <cell r="D257">
            <v>64627</v>
          </cell>
        </row>
        <row r="258">
          <cell r="A258" t="str">
            <v>KPITTECH25JULFUT</v>
          </cell>
          <cell r="B258" t="str">
            <v>KPITTECH25JULFUT</v>
          </cell>
          <cell r="C258">
            <v>13662722</v>
          </cell>
          <cell r="D258">
            <v>53370</v>
          </cell>
        </row>
        <row r="259">
          <cell r="A259" t="str">
            <v>KPITTECH25AUGFUT</v>
          </cell>
          <cell r="B259" t="str">
            <v>KPITTECH25AUGFUT</v>
          </cell>
          <cell r="C259">
            <v>16544770</v>
          </cell>
          <cell r="D259">
            <v>64628</v>
          </cell>
        </row>
        <row r="260">
          <cell r="A260" t="str">
            <v>LAURUSLABS25JULFUT</v>
          </cell>
          <cell r="B260" t="str">
            <v>LAURUSLABS25JULFUT</v>
          </cell>
          <cell r="C260">
            <v>13662978</v>
          </cell>
          <cell r="D260">
            <v>53371</v>
          </cell>
        </row>
        <row r="261">
          <cell r="A261" t="str">
            <v>LAURUSLABS25AUGFUT</v>
          </cell>
          <cell r="B261" t="str">
            <v>LAURUSLABS25AUGFUT</v>
          </cell>
          <cell r="C261">
            <v>16545026</v>
          </cell>
          <cell r="D261">
            <v>64629</v>
          </cell>
        </row>
        <row r="262">
          <cell r="A262" t="str">
            <v>LICHSGFIN25JULFUT</v>
          </cell>
          <cell r="B262" t="str">
            <v>LICHSGFIN25JULFUT</v>
          </cell>
          <cell r="C262">
            <v>13663234</v>
          </cell>
          <cell r="D262">
            <v>53372</v>
          </cell>
        </row>
        <row r="263">
          <cell r="A263" t="str">
            <v>LICHSGFIN25AUGFUT</v>
          </cell>
          <cell r="B263" t="str">
            <v>LICHSGFIN25AUGFUT</v>
          </cell>
          <cell r="C263">
            <v>16545282</v>
          </cell>
          <cell r="D263">
            <v>64630</v>
          </cell>
        </row>
        <row r="264">
          <cell r="A264" t="str">
            <v>LICI25JULFUT</v>
          </cell>
          <cell r="B264" t="str">
            <v>LICI25JULFUT</v>
          </cell>
          <cell r="C264">
            <v>13663490</v>
          </cell>
          <cell r="D264">
            <v>53373</v>
          </cell>
        </row>
        <row r="265">
          <cell r="A265" t="str">
            <v>LICI25AUGFUT</v>
          </cell>
          <cell r="B265" t="str">
            <v>LICI25AUGFUT</v>
          </cell>
          <cell r="C265">
            <v>16545538</v>
          </cell>
          <cell r="D265">
            <v>64631</v>
          </cell>
        </row>
        <row r="266">
          <cell r="A266" t="str">
            <v>LODHA25JULFUT</v>
          </cell>
          <cell r="B266" t="str">
            <v>LODHA25JULFUT</v>
          </cell>
          <cell r="C266">
            <v>13663746</v>
          </cell>
          <cell r="D266">
            <v>53374</v>
          </cell>
        </row>
        <row r="267">
          <cell r="A267" t="str">
            <v>LODHA25AUGFUT</v>
          </cell>
          <cell r="B267" t="str">
            <v>LODHA25AUGFUT</v>
          </cell>
          <cell r="C267">
            <v>16545794</v>
          </cell>
          <cell r="D267">
            <v>64632</v>
          </cell>
        </row>
        <row r="268">
          <cell r="A268" t="str">
            <v>LT25JULFUT</v>
          </cell>
          <cell r="B268" t="str">
            <v>LT25JULFUT</v>
          </cell>
          <cell r="C268">
            <v>13664002</v>
          </cell>
          <cell r="D268">
            <v>53375</v>
          </cell>
        </row>
        <row r="269">
          <cell r="A269" t="str">
            <v>LT25AUGFUT</v>
          </cell>
          <cell r="B269" t="str">
            <v>LT25AUGFUT</v>
          </cell>
          <cell r="C269">
            <v>16546050</v>
          </cell>
          <cell r="D269">
            <v>64633</v>
          </cell>
        </row>
        <row r="270">
          <cell r="A270" t="str">
            <v>LTF25JULFUT</v>
          </cell>
          <cell r="B270" t="str">
            <v>LTF25JULFUT</v>
          </cell>
          <cell r="C270">
            <v>13664258</v>
          </cell>
          <cell r="D270">
            <v>53376</v>
          </cell>
        </row>
        <row r="271">
          <cell r="A271" t="str">
            <v>LTF25AUGFUT</v>
          </cell>
          <cell r="B271" t="str">
            <v>LTF25AUGFUT</v>
          </cell>
          <cell r="C271">
            <v>16546306</v>
          </cell>
          <cell r="D271">
            <v>64634</v>
          </cell>
        </row>
        <row r="272">
          <cell r="A272" t="str">
            <v>LTIM25JULFUT</v>
          </cell>
          <cell r="B272" t="str">
            <v>LTIM25JULFUT</v>
          </cell>
          <cell r="C272">
            <v>13664514</v>
          </cell>
          <cell r="D272">
            <v>53377</v>
          </cell>
        </row>
        <row r="273">
          <cell r="A273" t="str">
            <v>LTIM25AUGFUT</v>
          </cell>
          <cell r="B273" t="str">
            <v>LTIM25AUGFUT</v>
          </cell>
          <cell r="C273">
            <v>16546562</v>
          </cell>
          <cell r="D273">
            <v>64635</v>
          </cell>
        </row>
        <row r="274">
          <cell r="A274" t="str">
            <v>LUPIN25JULFUT</v>
          </cell>
          <cell r="B274" t="str">
            <v>LUPIN25JULFUT</v>
          </cell>
          <cell r="C274">
            <v>13664770</v>
          </cell>
          <cell r="D274">
            <v>53378</v>
          </cell>
        </row>
        <row r="275">
          <cell r="A275" t="str">
            <v>LUPIN25AUGFUT</v>
          </cell>
          <cell r="B275" t="str">
            <v>LUPIN25AUGFUT</v>
          </cell>
          <cell r="C275">
            <v>16546818</v>
          </cell>
          <cell r="D275">
            <v>64636</v>
          </cell>
        </row>
        <row r="276">
          <cell r="A276" t="str">
            <v>M&amp;M25JULFUT</v>
          </cell>
          <cell r="B276" t="str">
            <v>M&amp;M25JULFUT</v>
          </cell>
          <cell r="C276">
            <v>13665026</v>
          </cell>
          <cell r="D276">
            <v>53379</v>
          </cell>
        </row>
        <row r="277">
          <cell r="A277" t="str">
            <v>M&amp;M25AUGFUT</v>
          </cell>
          <cell r="B277" t="str">
            <v>M&amp;M25AUGFUT</v>
          </cell>
          <cell r="C277">
            <v>16547074</v>
          </cell>
          <cell r="D277">
            <v>64637</v>
          </cell>
        </row>
        <row r="278">
          <cell r="A278" t="str">
            <v>M&amp;MFIN25JULFUT</v>
          </cell>
          <cell r="B278" t="str">
            <v>M&amp;MFIN25JULFUT</v>
          </cell>
          <cell r="C278">
            <v>13665282</v>
          </cell>
          <cell r="D278">
            <v>53380</v>
          </cell>
        </row>
        <row r="279">
          <cell r="A279" t="str">
            <v>MANAPPURAM25JULFUT</v>
          </cell>
          <cell r="B279" t="str">
            <v>MANAPPURAM25JULFUT</v>
          </cell>
          <cell r="C279">
            <v>13665538</v>
          </cell>
          <cell r="D279">
            <v>53381</v>
          </cell>
        </row>
        <row r="280">
          <cell r="A280" t="str">
            <v>MANAPPURAM25AUGFUT</v>
          </cell>
          <cell r="B280" t="str">
            <v>MANAPPURAM25AUGFUT</v>
          </cell>
          <cell r="C280">
            <v>16613634</v>
          </cell>
          <cell r="D280">
            <v>64897</v>
          </cell>
        </row>
        <row r="281">
          <cell r="A281" t="str">
            <v>MANKIND25JULFUT</v>
          </cell>
          <cell r="B281" t="str">
            <v>MANKIND25JULFUT</v>
          </cell>
          <cell r="C281">
            <v>16614658</v>
          </cell>
          <cell r="D281">
            <v>64901</v>
          </cell>
        </row>
        <row r="282">
          <cell r="A282" t="str">
            <v>MANKIND25AUGFUT</v>
          </cell>
          <cell r="B282" t="str">
            <v>MANKIND25AUGFUT</v>
          </cell>
          <cell r="C282">
            <v>16614914</v>
          </cell>
          <cell r="D282">
            <v>64902</v>
          </cell>
        </row>
        <row r="283">
          <cell r="A283" t="str">
            <v>MARICO25JULFUT</v>
          </cell>
          <cell r="B283" t="str">
            <v>MARICO25JULFUT</v>
          </cell>
          <cell r="C283">
            <v>13665794</v>
          </cell>
          <cell r="D283">
            <v>53382</v>
          </cell>
        </row>
        <row r="284">
          <cell r="A284" t="str">
            <v>MARICO25AUGFUT</v>
          </cell>
          <cell r="B284" t="str">
            <v>MARICO25AUGFUT</v>
          </cell>
          <cell r="C284">
            <v>16615170</v>
          </cell>
          <cell r="D284">
            <v>64903</v>
          </cell>
        </row>
        <row r="285">
          <cell r="A285" t="str">
            <v>MARUTI25JULFUT</v>
          </cell>
          <cell r="B285" t="str">
            <v>MARUTI25JULFUT</v>
          </cell>
          <cell r="C285">
            <v>13666050</v>
          </cell>
          <cell r="D285">
            <v>53383</v>
          </cell>
        </row>
        <row r="286">
          <cell r="A286" t="str">
            <v>MARUTI25AUGFUT</v>
          </cell>
          <cell r="B286" t="str">
            <v>MARUTI25AUGFUT</v>
          </cell>
          <cell r="C286">
            <v>16615426</v>
          </cell>
          <cell r="D286">
            <v>64904</v>
          </cell>
        </row>
        <row r="287">
          <cell r="A287" t="str">
            <v>MAXHEALTH25JULFUT</v>
          </cell>
          <cell r="B287" t="str">
            <v>MAXHEALTH25JULFUT</v>
          </cell>
          <cell r="C287">
            <v>13666306</v>
          </cell>
          <cell r="D287">
            <v>53384</v>
          </cell>
        </row>
        <row r="288">
          <cell r="A288" t="str">
            <v>MAXHEALTH25AUGFUT</v>
          </cell>
          <cell r="B288" t="str">
            <v>MAXHEALTH25AUGFUT</v>
          </cell>
          <cell r="C288">
            <v>16615682</v>
          </cell>
          <cell r="D288">
            <v>64905</v>
          </cell>
        </row>
        <row r="289">
          <cell r="A289" t="str">
            <v>MAZDOCK25JULFUT</v>
          </cell>
          <cell r="B289" t="str">
            <v>MAZDOCK25JULFUT</v>
          </cell>
          <cell r="C289">
            <v>16616194</v>
          </cell>
          <cell r="D289">
            <v>64907</v>
          </cell>
        </row>
        <row r="290">
          <cell r="A290" t="str">
            <v>MAZDOCK25AUGFUT</v>
          </cell>
          <cell r="B290" t="str">
            <v>MAZDOCK25AUGFUT</v>
          </cell>
          <cell r="C290">
            <v>16616450</v>
          </cell>
          <cell r="D290">
            <v>64908</v>
          </cell>
        </row>
        <row r="291">
          <cell r="A291" t="str">
            <v>MCX25JULFUT</v>
          </cell>
          <cell r="B291" t="str">
            <v>MCX25JULFUT</v>
          </cell>
          <cell r="C291">
            <v>13666562</v>
          </cell>
          <cell r="D291">
            <v>53385</v>
          </cell>
        </row>
        <row r="292">
          <cell r="A292" t="str">
            <v>MCX25AUGFUT</v>
          </cell>
          <cell r="B292" t="str">
            <v>MCX25AUGFUT</v>
          </cell>
          <cell r="C292">
            <v>16624130</v>
          </cell>
          <cell r="D292">
            <v>64938</v>
          </cell>
        </row>
        <row r="293">
          <cell r="A293" t="str">
            <v>MFSL25JULFUT</v>
          </cell>
          <cell r="B293" t="str">
            <v>MFSL25JULFUT</v>
          </cell>
          <cell r="C293">
            <v>13666818</v>
          </cell>
          <cell r="D293">
            <v>53386</v>
          </cell>
        </row>
        <row r="294">
          <cell r="A294" t="str">
            <v>MFSL25AUGFUT</v>
          </cell>
          <cell r="B294" t="str">
            <v>MFSL25AUGFUT</v>
          </cell>
          <cell r="C294">
            <v>16624386</v>
          </cell>
          <cell r="D294">
            <v>64939</v>
          </cell>
        </row>
        <row r="295">
          <cell r="A295" t="str">
            <v>MGL25JULFUT</v>
          </cell>
          <cell r="B295" t="str">
            <v>MGL25JULFUT</v>
          </cell>
          <cell r="C295">
            <v>13667074</v>
          </cell>
          <cell r="D295">
            <v>53387</v>
          </cell>
        </row>
        <row r="296">
          <cell r="A296" t="str">
            <v>MIDCPNIFTY25JULFUT</v>
          </cell>
          <cell r="B296" t="str">
            <v>MIDCPNIFTY25JULFUT</v>
          </cell>
          <cell r="C296">
            <v>13623042</v>
          </cell>
          <cell r="D296">
            <v>53215</v>
          </cell>
        </row>
        <row r="297">
          <cell r="A297" t="str">
            <v>MIDCPNIFTY25AUGFUT</v>
          </cell>
          <cell r="B297" t="str">
            <v>MIDCPNIFTY25AUGFUT</v>
          </cell>
          <cell r="C297">
            <v>16410114</v>
          </cell>
          <cell r="D297">
            <v>64102</v>
          </cell>
        </row>
        <row r="298">
          <cell r="A298" t="str">
            <v>MOTHERSON25JULFUT</v>
          </cell>
          <cell r="B298" t="str">
            <v>MOTHERSON25JULFUT</v>
          </cell>
          <cell r="C298">
            <v>13667330</v>
          </cell>
          <cell r="D298">
            <v>53388</v>
          </cell>
        </row>
        <row r="299">
          <cell r="A299" t="str">
            <v>MOTHERSON25AUGFUT</v>
          </cell>
          <cell r="B299" t="str">
            <v>MOTHERSON25AUGFUT</v>
          </cell>
          <cell r="C299">
            <v>16625154</v>
          </cell>
          <cell r="D299">
            <v>64942</v>
          </cell>
        </row>
        <row r="300">
          <cell r="A300" t="str">
            <v>MPHASIS25JULFUT</v>
          </cell>
          <cell r="B300" t="str">
            <v>MPHASIS25JULFUT</v>
          </cell>
          <cell r="C300">
            <v>13667586</v>
          </cell>
          <cell r="D300">
            <v>53389</v>
          </cell>
        </row>
        <row r="301">
          <cell r="A301" t="str">
            <v>MPHASIS25AUGFUT</v>
          </cell>
          <cell r="B301" t="str">
            <v>MPHASIS25AUGFUT</v>
          </cell>
          <cell r="C301">
            <v>16625410</v>
          </cell>
          <cell r="D301">
            <v>64943</v>
          </cell>
        </row>
        <row r="302">
          <cell r="A302" t="str">
            <v>MUTHOOTFIN25JULFUT</v>
          </cell>
          <cell r="B302" t="str">
            <v>MUTHOOTFIN25JULFUT</v>
          </cell>
          <cell r="C302">
            <v>13667842</v>
          </cell>
          <cell r="D302">
            <v>53390</v>
          </cell>
        </row>
        <row r="303">
          <cell r="A303" t="str">
            <v>MUTHOOTFIN25AUGFUT</v>
          </cell>
          <cell r="B303" t="str">
            <v>MUTHOOTFIN25AUGFUT</v>
          </cell>
          <cell r="C303">
            <v>16625666</v>
          </cell>
          <cell r="D303">
            <v>64944</v>
          </cell>
        </row>
        <row r="304">
          <cell r="A304" t="str">
            <v>NATIONALUM25JULFUT</v>
          </cell>
          <cell r="B304" t="str">
            <v>NATIONALUM25JULFUT</v>
          </cell>
          <cell r="C304">
            <v>13668098</v>
          </cell>
          <cell r="D304">
            <v>53391</v>
          </cell>
        </row>
        <row r="305">
          <cell r="A305" t="str">
            <v>NATIONALUM25AUGFUT</v>
          </cell>
          <cell r="B305" t="str">
            <v>NATIONALUM25AUGFUT</v>
          </cell>
          <cell r="C305">
            <v>16626946</v>
          </cell>
          <cell r="D305">
            <v>64949</v>
          </cell>
        </row>
        <row r="306">
          <cell r="A306" t="str">
            <v>NAUKRI25JULFUT</v>
          </cell>
          <cell r="B306" t="str">
            <v>NAUKRI25JULFUT</v>
          </cell>
          <cell r="C306">
            <v>13668354</v>
          </cell>
          <cell r="D306">
            <v>53392</v>
          </cell>
        </row>
        <row r="307">
          <cell r="A307" t="str">
            <v>NAUKRI25AUGFUT</v>
          </cell>
          <cell r="B307" t="str">
            <v>NAUKRI25AUGFUT</v>
          </cell>
          <cell r="C307">
            <v>16627202</v>
          </cell>
          <cell r="D307">
            <v>64950</v>
          </cell>
        </row>
        <row r="308">
          <cell r="A308" t="str">
            <v>NBCC25JULFUT</v>
          </cell>
          <cell r="B308" t="str">
            <v>NBCC25JULFUT</v>
          </cell>
          <cell r="C308">
            <v>13668610</v>
          </cell>
          <cell r="D308">
            <v>53393</v>
          </cell>
        </row>
        <row r="309">
          <cell r="A309" t="str">
            <v>NBCC25AUGFUT</v>
          </cell>
          <cell r="B309" t="str">
            <v>NBCC25AUGFUT</v>
          </cell>
          <cell r="C309">
            <v>16627458</v>
          </cell>
          <cell r="D309">
            <v>64951</v>
          </cell>
        </row>
        <row r="310">
          <cell r="A310" t="str">
            <v>NCC25JULFUT</v>
          </cell>
          <cell r="B310" t="str">
            <v>NCC25JULFUT</v>
          </cell>
          <cell r="C310">
            <v>13668866</v>
          </cell>
          <cell r="D310">
            <v>53394</v>
          </cell>
        </row>
        <row r="311">
          <cell r="A311" t="str">
            <v>NCC25AUGFUT</v>
          </cell>
          <cell r="B311" t="str">
            <v>NCC25AUGFUT</v>
          </cell>
          <cell r="C311">
            <v>16627714</v>
          </cell>
          <cell r="D311">
            <v>64952</v>
          </cell>
        </row>
        <row r="312">
          <cell r="A312" t="str">
            <v>NESTLEIND25JULFUT</v>
          </cell>
          <cell r="B312" t="str">
            <v>NESTLEIND25JULFUT</v>
          </cell>
          <cell r="C312">
            <v>13669122</v>
          </cell>
          <cell r="D312">
            <v>53395</v>
          </cell>
        </row>
        <row r="313">
          <cell r="A313" t="str">
            <v>NESTLEIND25AUGFUT</v>
          </cell>
          <cell r="B313" t="str">
            <v>NESTLEIND25AUGFUT</v>
          </cell>
          <cell r="C313">
            <v>16627970</v>
          </cell>
          <cell r="D313">
            <v>64953</v>
          </cell>
        </row>
        <row r="314">
          <cell r="A314" t="str">
            <v>NHPC25JULFUT</v>
          </cell>
          <cell r="B314" t="str">
            <v>NHPC25JULFUT</v>
          </cell>
          <cell r="C314">
            <v>13669378</v>
          </cell>
          <cell r="D314">
            <v>53396</v>
          </cell>
        </row>
        <row r="315">
          <cell r="A315" t="str">
            <v>NHPC25AUGFUT</v>
          </cell>
          <cell r="B315" t="str">
            <v>NHPC25AUGFUT</v>
          </cell>
          <cell r="C315">
            <v>16628226</v>
          </cell>
          <cell r="D315">
            <v>64954</v>
          </cell>
        </row>
        <row r="316">
          <cell r="A316" t="str">
            <v>NIFTYNXT5025JULFUT</v>
          </cell>
          <cell r="B316" t="str">
            <v>NIFTYNXT5025JULFUT</v>
          </cell>
          <cell r="C316">
            <v>13623554</v>
          </cell>
          <cell r="D316">
            <v>53217</v>
          </cell>
        </row>
        <row r="317">
          <cell r="A317" t="str">
            <v>NIFTYNXT5025AUGFUT</v>
          </cell>
          <cell r="B317" t="str">
            <v>NIFTYNXT5025AUGFUT</v>
          </cell>
          <cell r="C317">
            <v>16410626</v>
          </cell>
          <cell r="D317">
            <v>64104</v>
          </cell>
        </row>
        <row r="318">
          <cell r="A318" t="str">
            <v>NMDC25JULFUT</v>
          </cell>
          <cell r="B318" t="str">
            <v>NMDC25JULFUT</v>
          </cell>
          <cell r="C318">
            <v>13669634</v>
          </cell>
          <cell r="D318">
            <v>53397</v>
          </cell>
        </row>
        <row r="319">
          <cell r="A319" t="str">
            <v>NMDC25AUGFUT</v>
          </cell>
          <cell r="B319" t="str">
            <v>NMDC25AUGFUT</v>
          </cell>
          <cell r="C319">
            <v>16629506</v>
          </cell>
          <cell r="D319">
            <v>64959</v>
          </cell>
        </row>
        <row r="320">
          <cell r="A320" t="str">
            <v>NTPC25JULFUT</v>
          </cell>
          <cell r="B320" t="str">
            <v>NTPC25JULFUT</v>
          </cell>
          <cell r="C320">
            <v>13669890</v>
          </cell>
          <cell r="D320">
            <v>53398</v>
          </cell>
        </row>
        <row r="321">
          <cell r="A321" t="str">
            <v>NTPC25AUGFUT</v>
          </cell>
          <cell r="B321" t="str">
            <v>NTPC25AUGFUT</v>
          </cell>
          <cell r="C321">
            <v>16630274</v>
          </cell>
          <cell r="D321">
            <v>64962</v>
          </cell>
        </row>
        <row r="322">
          <cell r="A322" t="str">
            <v>NYKAA25JULFUT</v>
          </cell>
          <cell r="B322" t="str">
            <v>NYKAA25JULFUT</v>
          </cell>
          <cell r="C322">
            <v>13670146</v>
          </cell>
          <cell r="D322">
            <v>53399</v>
          </cell>
        </row>
        <row r="323">
          <cell r="A323" t="str">
            <v>NYKAA25AUGFUT</v>
          </cell>
          <cell r="B323" t="str">
            <v>NYKAA25AUGFUT</v>
          </cell>
          <cell r="C323">
            <v>16630530</v>
          </cell>
          <cell r="D323">
            <v>64963</v>
          </cell>
        </row>
        <row r="324">
          <cell r="A324" t="str">
            <v>OBEROIRLTY25JULFUT</v>
          </cell>
          <cell r="B324" t="str">
            <v>OBEROIRLTY25JULFUT</v>
          </cell>
          <cell r="C324">
            <v>13670914</v>
          </cell>
          <cell r="D324">
            <v>53402</v>
          </cell>
        </row>
        <row r="325">
          <cell r="A325" t="str">
            <v>OBEROIRLTY25AUGFUT</v>
          </cell>
          <cell r="B325" t="str">
            <v>OBEROIRLTY25AUGFUT</v>
          </cell>
          <cell r="C325">
            <v>16630786</v>
          </cell>
          <cell r="D325">
            <v>64964</v>
          </cell>
        </row>
        <row r="326">
          <cell r="A326" t="str">
            <v>OFSS25JULFUT</v>
          </cell>
          <cell r="B326" t="str">
            <v>OFSS25JULFUT</v>
          </cell>
          <cell r="C326">
            <v>13671170</v>
          </cell>
          <cell r="D326">
            <v>53403</v>
          </cell>
        </row>
        <row r="327">
          <cell r="A327" t="str">
            <v>OFSS25AUGFUT</v>
          </cell>
          <cell r="B327" t="str">
            <v>OFSS25AUGFUT</v>
          </cell>
          <cell r="C327">
            <v>16631042</v>
          </cell>
          <cell r="D327">
            <v>64965</v>
          </cell>
        </row>
        <row r="328">
          <cell r="A328" t="str">
            <v>OIL25JULFUT</v>
          </cell>
          <cell r="B328" t="str">
            <v>OIL25JULFUT</v>
          </cell>
          <cell r="C328">
            <v>13671426</v>
          </cell>
          <cell r="D328">
            <v>53404</v>
          </cell>
        </row>
        <row r="329">
          <cell r="A329" t="str">
            <v>OIL25AUGFUT</v>
          </cell>
          <cell r="B329" t="str">
            <v>OIL25AUGFUT</v>
          </cell>
          <cell r="C329">
            <v>16631810</v>
          </cell>
          <cell r="D329">
            <v>64968</v>
          </cell>
        </row>
        <row r="330">
          <cell r="A330" t="str">
            <v>ONGC25JULFUT</v>
          </cell>
          <cell r="B330" t="str">
            <v>ONGC25JULFUT</v>
          </cell>
          <cell r="C330">
            <v>13671682</v>
          </cell>
          <cell r="D330">
            <v>53405</v>
          </cell>
        </row>
        <row r="331">
          <cell r="A331" t="str">
            <v>ONGC25AUGFUT</v>
          </cell>
          <cell r="B331" t="str">
            <v>ONGC25AUGFUT</v>
          </cell>
          <cell r="C331">
            <v>16632066</v>
          </cell>
          <cell r="D331">
            <v>64969</v>
          </cell>
        </row>
        <row r="332">
          <cell r="A332" t="str">
            <v>PAGEIND25JULFUT</v>
          </cell>
          <cell r="B332" t="str">
            <v>PAGEIND25JULFUT</v>
          </cell>
          <cell r="C332">
            <v>13671938</v>
          </cell>
          <cell r="D332">
            <v>53406</v>
          </cell>
        </row>
        <row r="333">
          <cell r="A333" t="str">
            <v>PAGEIND25AUGFUT</v>
          </cell>
          <cell r="B333" t="str">
            <v>PAGEIND25AUGFUT</v>
          </cell>
          <cell r="C333">
            <v>16632322</v>
          </cell>
          <cell r="D333">
            <v>64970</v>
          </cell>
        </row>
        <row r="334">
          <cell r="A334" t="str">
            <v>PATANJALI25JULFUT</v>
          </cell>
          <cell r="B334" t="str">
            <v>PATANJALI25JULFUT</v>
          </cell>
          <cell r="C334">
            <v>13672194</v>
          </cell>
          <cell r="D334">
            <v>53407</v>
          </cell>
        </row>
        <row r="335">
          <cell r="A335" t="str">
            <v>PATANJALI25AUGFUT</v>
          </cell>
          <cell r="B335" t="str">
            <v>PATANJALI25AUGFUT</v>
          </cell>
          <cell r="C335">
            <v>16632578</v>
          </cell>
          <cell r="D335">
            <v>64971</v>
          </cell>
        </row>
        <row r="336">
          <cell r="A336" t="str">
            <v>PAYTM25JULFUT</v>
          </cell>
          <cell r="B336" t="str">
            <v>PAYTM25JULFUT</v>
          </cell>
          <cell r="C336">
            <v>13672450</v>
          </cell>
          <cell r="D336">
            <v>53408</v>
          </cell>
        </row>
        <row r="337">
          <cell r="A337" t="str">
            <v>PAYTM25AUGFUT</v>
          </cell>
          <cell r="B337" t="str">
            <v>PAYTM25AUGFUT</v>
          </cell>
          <cell r="C337">
            <v>16632834</v>
          </cell>
          <cell r="D337">
            <v>64972</v>
          </cell>
        </row>
        <row r="338">
          <cell r="A338" t="str">
            <v>PEL25JULFUT</v>
          </cell>
          <cell r="B338" t="str">
            <v>PEL25JULFUT</v>
          </cell>
          <cell r="C338">
            <v>13672706</v>
          </cell>
          <cell r="D338">
            <v>53409</v>
          </cell>
        </row>
        <row r="339">
          <cell r="A339" t="str">
            <v>PERSISTENT25JULFUT</v>
          </cell>
          <cell r="B339" t="str">
            <v>PERSISTENT25JULFUT</v>
          </cell>
          <cell r="C339">
            <v>13673730</v>
          </cell>
          <cell r="D339">
            <v>53413</v>
          </cell>
        </row>
        <row r="340">
          <cell r="A340" t="str">
            <v>PERSISTENT25AUGFUT</v>
          </cell>
          <cell r="B340" t="str">
            <v>PERSISTENT25AUGFUT</v>
          </cell>
          <cell r="C340">
            <v>16633090</v>
          </cell>
          <cell r="D340">
            <v>64973</v>
          </cell>
        </row>
        <row r="341">
          <cell r="A341" t="str">
            <v>PETRONET25JULFUT</v>
          </cell>
          <cell r="B341" t="str">
            <v>PETRONET25JULFUT</v>
          </cell>
          <cell r="C341">
            <v>13673986</v>
          </cell>
          <cell r="D341">
            <v>53414</v>
          </cell>
        </row>
        <row r="342">
          <cell r="A342" t="str">
            <v>PETRONET25AUGFUT</v>
          </cell>
          <cell r="B342" t="str">
            <v>PETRONET25AUGFUT</v>
          </cell>
          <cell r="C342">
            <v>16633346</v>
          </cell>
          <cell r="D342">
            <v>64974</v>
          </cell>
        </row>
        <row r="343">
          <cell r="A343" t="str">
            <v>PFC25JULFUT</v>
          </cell>
          <cell r="B343" t="str">
            <v>PFC25JULFUT</v>
          </cell>
          <cell r="C343">
            <v>13674242</v>
          </cell>
          <cell r="D343">
            <v>53415</v>
          </cell>
        </row>
        <row r="344">
          <cell r="A344" t="str">
            <v>PFC25AUGFUT</v>
          </cell>
          <cell r="B344" t="str">
            <v>PFC25AUGFUT</v>
          </cell>
          <cell r="C344">
            <v>16633602</v>
          </cell>
          <cell r="D344">
            <v>64975</v>
          </cell>
        </row>
        <row r="345">
          <cell r="A345" t="str">
            <v>PHOENIXLTD25JULFUT</v>
          </cell>
          <cell r="B345" t="str">
            <v>PHOENIXLTD25JULFUT</v>
          </cell>
          <cell r="C345">
            <v>13674498</v>
          </cell>
          <cell r="D345">
            <v>53416</v>
          </cell>
        </row>
        <row r="346">
          <cell r="A346" t="str">
            <v>PHOENIXLTD25AUGFUT</v>
          </cell>
          <cell r="B346" t="str">
            <v>PHOENIXLTD25AUGFUT</v>
          </cell>
          <cell r="C346">
            <v>16633858</v>
          </cell>
          <cell r="D346">
            <v>64976</v>
          </cell>
        </row>
        <row r="347">
          <cell r="A347" t="str">
            <v>PIDILITIND25JULFUT</v>
          </cell>
          <cell r="B347" t="str">
            <v>PIDILITIND25JULFUT</v>
          </cell>
          <cell r="C347">
            <v>13675010</v>
          </cell>
          <cell r="D347">
            <v>53418</v>
          </cell>
        </row>
        <row r="348">
          <cell r="A348" t="str">
            <v>PIDILITIND25AUGFUT</v>
          </cell>
          <cell r="B348" t="str">
            <v>PIDILITIND25AUGFUT</v>
          </cell>
          <cell r="C348">
            <v>16634114</v>
          </cell>
          <cell r="D348">
            <v>64977</v>
          </cell>
        </row>
        <row r="349">
          <cell r="A349" t="str">
            <v>PIIND25JULFUT</v>
          </cell>
          <cell r="B349" t="str">
            <v>PIIND25JULFUT</v>
          </cell>
          <cell r="C349">
            <v>13675266</v>
          </cell>
          <cell r="D349">
            <v>53419</v>
          </cell>
        </row>
        <row r="350">
          <cell r="A350" t="str">
            <v>PIIND25AUGFUT</v>
          </cell>
          <cell r="B350" t="str">
            <v>PIIND25AUGFUT</v>
          </cell>
          <cell r="C350">
            <v>16634370</v>
          </cell>
          <cell r="D350">
            <v>64978</v>
          </cell>
        </row>
        <row r="351">
          <cell r="A351" t="str">
            <v>PNB25JULFUT</v>
          </cell>
          <cell r="B351" t="str">
            <v>PNB25JULFUT</v>
          </cell>
          <cell r="C351">
            <v>13675522</v>
          </cell>
          <cell r="D351">
            <v>53420</v>
          </cell>
        </row>
        <row r="352">
          <cell r="A352" t="str">
            <v>PNB25AUGFUT</v>
          </cell>
          <cell r="B352" t="str">
            <v>PNB25AUGFUT</v>
          </cell>
          <cell r="C352">
            <v>16634626</v>
          </cell>
          <cell r="D352">
            <v>64979</v>
          </cell>
        </row>
        <row r="353">
          <cell r="A353" t="str">
            <v>PNBHOUSING25JULFUT</v>
          </cell>
          <cell r="B353" t="str">
            <v>PNBHOUSING25JULFUT</v>
          </cell>
          <cell r="C353">
            <v>13675778</v>
          </cell>
          <cell r="D353">
            <v>53421</v>
          </cell>
        </row>
        <row r="354">
          <cell r="A354" t="str">
            <v>PNBHOUSING25AUGFUT</v>
          </cell>
          <cell r="B354" t="str">
            <v>PNBHOUSING25AUGFUT</v>
          </cell>
          <cell r="C354">
            <v>16635138</v>
          </cell>
          <cell r="D354">
            <v>64981</v>
          </cell>
        </row>
        <row r="355">
          <cell r="A355" t="str">
            <v>POLICYBZR25JULFUT</v>
          </cell>
          <cell r="B355" t="str">
            <v>POLICYBZR25JULFUT</v>
          </cell>
          <cell r="C355">
            <v>13676034</v>
          </cell>
          <cell r="D355">
            <v>53422</v>
          </cell>
        </row>
        <row r="356">
          <cell r="A356" t="str">
            <v>POLICYBZR25AUGFUT</v>
          </cell>
          <cell r="B356" t="str">
            <v>POLICYBZR25AUGFUT</v>
          </cell>
          <cell r="C356">
            <v>16635394</v>
          </cell>
          <cell r="D356">
            <v>64982</v>
          </cell>
        </row>
        <row r="357">
          <cell r="A357" t="str">
            <v>POLYCAB25JULFUT</v>
          </cell>
          <cell r="B357" t="str">
            <v>POLYCAB25JULFUT</v>
          </cell>
          <cell r="C357">
            <v>13676290</v>
          </cell>
          <cell r="D357">
            <v>53423</v>
          </cell>
        </row>
        <row r="358">
          <cell r="A358" t="str">
            <v>POLYCAB25AUGFUT</v>
          </cell>
          <cell r="B358" t="str">
            <v>POLYCAB25AUGFUT</v>
          </cell>
          <cell r="C358">
            <v>16635906</v>
          </cell>
          <cell r="D358">
            <v>64984</v>
          </cell>
        </row>
        <row r="359">
          <cell r="A359" t="str">
            <v>POONAWALLA25JULFUT</v>
          </cell>
          <cell r="B359" t="str">
            <v>POONAWALLA25JULFUT</v>
          </cell>
          <cell r="C359">
            <v>13676546</v>
          </cell>
          <cell r="D359">
            <v>53424</v>
          </cell>
        </row>
        <row r="360">
          <cell r="A360" t="str">
            <v>POONAWALLA25AUGFUT</v>
          </cell>
          <cell r="B360" t="str">
            <v>POONAWALLA25AUGFUT</v>
          </cell>
          <cell r="C360">
            <v>16636162</v>
          </cell>
          <cell r="D360">
            <v>64985</v>
          </cell>
        </row>
        <row r="361">
          <cell r="A361" t="str">
            <v>POWERGRID25JULFUT</v>
          </cell>
          <cell r="B361" t="str">
            <v>POWERGRID25JULFUT</v>
          </cell>
          <cell r="C361">
            <v>13676802</v>
          </cell>
          <cell r="D361">
            <v>53425</v>
          </cell>
        </row>
        <row r="362">
          <cell r="A362" t="str">
            <v>POWERGRID25AUGFUT</v>
          </cell>
          <cell r="B362" t="str">
            <v>POWERGRID25AUGFUT</v>
          </cell>
          <cell r="C362">
            <v>16636418</v>
          </cell>
          <cell r="D362">
            <v>64986</v>
          </cell>
        </row>
        <row r="363">
          <cell r="A363" t="str">
            <v>PPLPHARMA25JULFUT</v>
          </cell>
          <cell r="B363" t="str">
            <v>PPLPHARMA25JULFUT</v>
          </cell>
          <cell r="C363">
            <v>16636930</v>
          </cell>
          <cell r="D363">
            <v>64988</v>
          </cell>
        </row>
        <row r="364">
          <cell r="A364" t="str">
            <v>PPLPHARMA25AUGFUT</v>
          </cell>
          <cell r="B364" t="str">
            <v>PPLPHARMA25AUGFUT</v>
          </cell>
          <cell r="C364">
            <v>16637186</v>
          </cell>
          <cell r="D364">
            <v>64989</v>
          </cell>
        </row>
        <row r="365">
          <cell r="A365" t="str">
            <v>PRESTIGE25JULFUT</v>
          </cell>
          <cell r="B365" t="str">
            <v>PRESTIGE25JULFUT</v>
          </cell>
          <cell r="C365">
            <v>13677058</v>
          </cell>
          <cell r="D365">
            <v>53426</v>
          </cell>
        </row>
        <row r="366">
          <cell r="A366" t="str">
            <v>PRESTIGE25AUGFUT</v>
          </cell>
          <cell r="B366" t="str">
            <v>PRESTIGE25AUGFUT</v>
          </cell>
          <cell r="C366">
            <v>16637442</v>
          </cell>
          <cell r="D366">
            <v>64990</v>
          </cell>
        </row>
        <row r="367">
          <cell r="A367" t="str">
            <v>RBLBANK25JULFUT</v>
          </cell>
          <cell r="B367" t="str">
            <v>RBLBANK25JULFUT</v>
          </cell>
          <cell r="C367">
            <v>13677314</v>
          </cell>
          <cell r="D367">
            <v>53427</v>
          </cell>
        </row>
        <row r="368">
          <cell r="A368" t="str">
            <v>RBLBANK25AUGFUT</v>
          </cell>
          <cell r="B368" t="str">
            <v>RBLBANK25AUGFUT</v>
          </cell>
          <cell r="C368">
            <v>16637698</v>
          </cell>
          <cell r="D368">
            <v>64991</v>
          </cell>
        </row>
        <row r="369">
          <cell r="A369" t="str">
            <v>RECLTD25JULFUT</v>
          </cell>
          <cell r="B369" t="str">
            <v>RECLTD25JULFUT</v>
          </cell>
          <cell r="C369">
            <v>13677570</v>
          </cell>
          <cell r="D369">
            <v>53428</v>
          </cell>
        </row>
        <row r="370">
          <cell r="A370" t="str">
            <v>RECLTD25AUGFUT</v>
          </cell>
          <cell r="B370" t="str">
            <v>RECLTD25AUGFUT</v>
          </cell>
          <cell r="C370">
            <v>16638466</v>
          </cell>
          <cell r="D370">
            <v>64994</v>
          </cell>
        </row>
        <row r="371">
          <cell r="A371" t="str">
            <v>RELIANCE25JULFUT</v>
          </cell>
          <cell r="B371" t="str">
            <v>RELIANCE25JULFUT</v>
          </cell>
          <cell r="C371">
            <v>13677826</v>
          </cell>
          <cell r="D371">
            <v>53429</v>
          </cell>
        </row>
        <row r="372">
          <cell r="A372" t="str">
            <v>RELIANCE25AUGFUT</v>
          </cell>
          <cell r="B372" t="str">
            <v>RELIANCE25AUGFUT</v>
          </cell>
          <cell r="C372">
            <v>16638722</v>
          </cell>
          <cell r="D372">
            <v>64995</v>
          </cell>
        </row>
        <row r="373">
          <cell r="A373" t="str">
            <v>RVNL25JULFUT</v>
          </cell>
          <cell r="B373" t="str">
            <v>RVNL25JULFUT</v>
          </cell>
          <cell r="C373">
            <v>16639234</v>
          </cell>
          <cell r="D373">
            <v>64997</v>
          </cell>
        </row>
        <row r="374">
          <cell r="A374" t="str">
            <v>RVNL25AUGFUT</v>
          </cell>
          <cell r="B374" t="str">
            <v>RVNL25AUGFUT</v>
          </cell>
          <cell r="C374">
            <v>16639490</v>
          </cell>
          <cell r="D374">
            <v>64998</v>
          </cell>
        </row>
        <row r="375">
          <cell r="A375" t="str">
            <v>SAIL25JULFUT</v>
          </cell>
          <cell r="B375" t="str">
            <v>SAIL25JULFUT</v>
          </cell>
          <cell r="C375">
            <v>13678082</v>
          </cell>
          <cell r="D375">
            <v>53430</v>
          </cell>
        </row>
        <row r="376">
          <cell r="A376" t="str">
            <v>SAIL25AUGFUT</v>
          </cell>
          <cell r="B376" t="str">
            <v>SAIL25AUGFUT</v>
          </cell>
          <cell r="C376">
            <v>16639746</v>
          </cell>
          <cell r="D376">
            <v>64999</v>
          </cell>
        </row>
        <row r="377">
          <cell r="A377" t="str">
            <v>SBICARD25JULFUT</v>
          </cell>
          <cell r="B377" t="str">
            <v>SBICARD25JULFUT</v>
          </cell>
          <cell r="C377">
            <v>13678338</v>
          </cell>
          <cell r="D377">
            <v>53431</v>
          </cell>
        </row>
        <row r="378">
          <cell r="A378" t="str">
            <v>SBICARD25AUGFUT</v>
          </cell>
          <cell r="B378" t="str">
            <v>SBICARD25AUGFUT</v>
          </cell>
          <cell r="C378">
            <v>16648706</v>
          </cell>
          <cell r="D378">
            <v>65034</v>
          </cell>
        </row>
        <row r="379">
          <cell r="A379" t="str">
            <v>SBILIFE25JULFUT</v>
          </cell>
          <cell r="B379" t="str">
            <v>SBILIFE25JULFUT</v>
          </cell>
          <cell r="C379">
            <v>13678594</v>
          </cell>
          <cell r="D379">
            <v>53432</v>
          </cell>
        </row>
        <row r="380">
          <cell r="A380" t="str">
            <v>SBILIFE25AUGFUT</v>
          </cell>
          <cell r="B380" t="str">
            <v>SBILIFE25AUGFUT</v>
          </cell>
          <cell r="C380">
            <v>16648962</v>
          </cell>
          <cell r="D380">
            <v>65035</v>
          </cell>
        </row>
        <row r="381">
          <cell r="A381" t="str">
            <v>SBIN25JULFUT</v>
          </cell>
          <cell r="B381" t="str">
            <v>SBIN25JULFUT</v>
          </cell>
          <cell r="C381">
            <v>13678850</v>
          </cell>
          <cell r="D381">
            <v>53433</v>
          </cell>
        </row>
        <row r="382">
          <cell r="A382" t="str">
            <v>SBIN25AUGFUT</v>
          </cell>
          <cell r="B382" t="str">
            <v>SBIN25AUGFUT</v>
          </cell>
          <cell r="C382">
            <v>16649218</v>
          </cell>
          <cell r="D382">
            <v>65036</v>
          </cell>
        </row>
        <row r="383">
          <cell r="A383" t="str">
            <v>SHREECEM25JULFUT</v>
          </cell>
          <cell r="B383" t="str">
            <v>SHREECEM25JULFUT</v>
          </cell>
          <cell r="C383">
            <v>13679106</v>
          </cell>
          <cell r="D383">
            <v>53434</v>
          </cell>
        </row>
        <row r="384">
          <cell r="A384" t="str">
            <v>SHREECEM25AUGFUT</v>
          </cell>
          <cell r="B384" t="str">
            <v>SHREECEM25AUGFUT</v>
          </cell>
          <cell r="C384">
            <v>16649474</v>
          </cell>
          <cell r="D384">
            <v>65037</v>
          </cell>
        </row>
        <row r="385">
          <cell r="A385" t="str">
            <v>SHRIRAMFIN25JULFUT</v>
          </cell>
          <cell r="B385" t="str">
            <v>SHRIRAMFIN25JULFUT</v>
          </cell>
          <cell r="C385">
            <v>13679362</v>
          </cell>
          <cell r="D385">
            <v>53435</v>
          </cell>
        </row>
        <row r="386">
          <cell r="A386" t="str">
            <v>SHRIRAMFIN25AUGFUT</v>
          </cell>
          <cell r="B386" t="str">
            <v>SHRIRAMFIN25AUGFUT</v>
          </cell>
          <cell r="C386">
            <v>16671746</v>
          </cell>
          <cell r="D386">
            <v>65124</v>
          </cell>
        </row>
        <row r="387">
          <cell r="A387" t="str">
            <v>SIEMENS25JULFUT</v>
          </cell>
          <cell r="B387" t="str">
            <v>SIEMENS25JULFUT</v>
          </cell>
          <cell r="C387">
            <v>13679618</v>
          </cell>
          <cell r="D387">
            <v>53436</v>
          </cell>
        </row>
        <row r="388">
          <cell r="A388" t="str">
            <v>SIEMENS25AUGFUT</v>
          </cell>
          <cell r="B388" t="str">
            <v>SIEMENS25AUGFUT</v>
          </cell>
          <cell r="C388">
            <v>16672002</v>
          </cell>
          <cell r="D388">
            <v>65125</v>
          </cell>
        </row>
        <row r="389">
          <cell r="A389" t="str">
            <v>SJVN25JULFUT</v>
          </cell>
          <cell r="B389" t="str">
            <v>SJVN25JULFUT</v>
          </cell>
          <cell r="C389">
            <v>13679874</v>
          </cell>
          <cell r="D389">
            <v>53437</v>
          </cell>
        </row>
        <row r="390">
          <cell r="A390" t="str">
            <v>SJVN25AUGFUT</v>
          </cell>
          <cell r="B390" t="str">
            <v>SJVN25AUGFUT</v>
          </cell>
          <cell r="C390">
            <v>16685058</v>
          </cell>
          <cell r="D390">
            <v>65176</v>
          </cell>
        </row>
        <row r="391">
          <cell r="A391" t="str">
            <v>SOLARINDS25JULFUT</v>
          </cell>
          <cell r="B391" t="str">
            <v>SOLARINDS25JULFUT</v>
          </cell>
          <cell r="C391">
            <v>13680130</v>
          </cell>
          <cell r="D391">
            <v>53438</v>
          </cell>
        </row>
        <row r="392">
          <cell r="A392" t="str">
            <v>SOLARINDS25AUGFUT</v>
          </cell>
          <cell r="B392" t="str">
            <v>SOLARINDS25AUGFUT</v>
          </cell>
          <cell r="C392">
            <v>16685314</v>
          </cell>
          <cell r="D392">
            <v>65177</v>
          </cell>
        </row>
        <row r="393">
          <cell r="A393" t="str">
            <v>SONACOMS25JULFUT</v>
          </cell>
          <cell r="B393" t="str">
            <v>SONACOMS25JULFUT</v>
          </cell>
          <cell r="C393">
            <v>13680386</v>
          </cell>
          <cell r="D393">
            <v>53439</v>
          </cell>
        </row>
        <row r="394">
          <cell r="A394" t="str">
            <v>SONACOMS25AUGFUT</v>
          </cell>
          <cell r="B394" t="str">
            <v>SONACOMS25AUGFUT</v>
          </cell>
          <cell r="C394">
            <v>16690178</v>
          </cell>
          <cell r="D394">
            <v>65196</v>
          </cell>
        </row>
        <row r="395">
          <cell r="A395" t="str">
            <v>SRF25JULFUT</v>
          </cell>
          <cell r="B395" t="str">
            <v>SRF25JULFUT</v>
          </cell>
          <cell r="C395">
            <v>13680642</v>
          </cell>
          <cell r="D395">
            <v>53440</v>
          </cell>
        </row>
        <row r="396">
          <cell r="A396" t="str">
            <v>SRF25AUGFUT</v>
          </cell>
          <cell r="B396" t="str">
            <v>SRF25AUGFUT</v>
          </cell>
          <cell r="C396">
            <v>16690434</v>
          </cell>
          <cell r="D396">
            <v>65197</v>
          </cell>
        </row>
        <row r="397">
          <cell r="A397" t="str">
            <v>SUNPHARMA25JULFUT</v>
          </cell>
          <cell r="B397" t="str">
            <v>SUNPHARMA25JULFUT</v>
          </cell>
          <cell r="C397">
            <v>13680898</v>
          </cell>
          <cell r="D397">
            <v>53441</v>
          </cell>
        </row>
        <row r="398">
          <cell r="A398" t="str">
            <v>SUNPHARMA25AUGFUT</v>
          </cell>
          <cell r="B398" t="str">
            <v>SUNPHARMA25AUGFUT</v>
          </cell>
          <cell r="C398">
            <v>16690690</v>
          </cell>
          <cell r="D398">
            <v>65198</v>
          </cell>
        </row>
        <row r="399">
          <cell r="A399" t="str">
            <v>SUPREMEIND25JULFUT</v>
          </cell>
          <cell r="B399" t="str">
            <v>SUPREMEIND25JULFUT</v>
          </cell>
          <cell r="C399">
            <v>13681154</v>
          </cell>
          <cell r="D399">
            <v>53442</v>
          </cell>
        </row>
        <row r="400">
          <cell r="A400" t="str">
            <v>SUPREMEIND25AUGFUT</v>
          </cell>
          <cell r="B400" t="str">
            <v>SUPREMEIND25AUGFUT</v>
          </cell>
          <cell r="C400">
            <v>16691970</v>
          </cell>
          <cell r="D400">
            <v>65203</v>
          </cell>
        </row>
        <row r="401">
          <cell r="A401" t="str">
            <v>SYNGENE25JULFUT</v>
          </cell>
          <cell r="B401" t="str">
            <v>SYNGENE25JULFUT</v>
          </cell>
          <cell r="C401">
            <v>13681410</v>
          </cell>
          <cell r="D401">
            <v>53443</v>
          </cell>
        </row>
        <row r="402">
          <cell r="A402" t="str">
            <v>SYNGENE25AUGFUT</v>
          </cell>
          <cell r="B402" t="str">
            <v>SYNGENE25AUGFUT</v>
          </cell>
          <cell r="C402">
            <v>16692738</v>
          </cell>
          <cell r="D402">
            <v>65206</v>
          </cell>
        </row>
        <row r="403">
          <cell r="A403" t="str">
            <v>TATACHEM25JULFUT</v>
          </cell>
          <cell r="B403" t="str">
            <v>TATACHEM25JULFUT</v>
          </cell>
          <cell r="C403">
            <v>13682690</v>
          </cell>
          <cell r="D403">
            <v>53448</v>
          </cell>
        </row>
        <row r="404">
          <cell r="A404" t="str">
            <v>TATACHEM25AUGFUT</v>
          </cell>
          <cell r="B404" t="str">
            <v>TATACHEM25AUGFUT</v>
          </cell>
          <cell r="C404">
            <v>16692994</v>
          </cell>
          <cell r="D404">
            <v>65207</v>
          </cell>
        </row>
        <row r="405">
          <cell r="A405" t="str">
            <v>TATACOMM25JULFUT</v>
          </cell>
          <cell r="B405" t="str">
            <v>TATACOMM25JULFUT</v>
          </cell>
          <cell r="C405">
            <v>13682946</v>
          </cell>
          <cell r="D405">
            <v>53449</v>
          </cell>
        </row>
        <row r="406">
          <cell r="A406" t="str">
            <v>TATACONSUM25JULFUT</v>
          </cell>
          <cell r="B406" t="str">
            <v>TATACONSUM25JULFUT</v>
          </cell>
          <cell r="C406">
            <v>13683202</v>
          </cell>
          <cell r="D406">
            <v>53450</v>
          </cell>
        </row>
        <row r="407">
          <cell r="A407" t="str">
            <v>TATACONSUM25AUGFUT</v>
          </cell>
          <cell r="B407" t="str">
            <v>TATACONSUM25AUGFUT</v>
          </cell>
          <cell r="C407">
            <v>16693250</v>
          </cell>
          <cell r="D407">
            <v>65208</v>
          </cell>
        </row>
        <row r="408">
          <cell r="A408" t="str">
            <v>TATAELXSI25JULFUT</v>
          </cell>
          <cell r="B408" t="str">
            <v>TATAELXSI25JULFUT</v>
          </cell>
          <cell r="C408">
            <v>13683458</v>
          </cell>
          <cell r="D408">
            <v>53451</v>
          </cell>
        </row>
        <row r="409">
          <cell r="A409" t="str">
            <v>TATAELXSI25AUGFUT</v>
          </cell>
          <cell r="B409" t="str">
            <v>TATAELXSI25AUGFUT</v>
          </cell>
          <cell r="C409">
            <v>16694274</v>
          </cell>
          <cell r="D409">
            <v>65212</v>
          </cell>
        </row>
        <row r="410">
          <cell r="A410" t="str">
            <v>TATAMOTORS25JULFUT</v>
          </cell>
          <cell r="B410" t="str">
            <v>TATAMOTORS25JULFUT</v>
          </cell>
          <cell r="C410">
            <v>13683714</v>
          </cell>
          <cell r="D410">
            <v>53452</v>
          </cell>
        </row>
        <row r="411">
          <cell r="A411" t="str">
            <v>TATAMOTORS25AUGFUT</v>
          </cell>
          <cell r="B411" t="str">
            <v>TATAMOTORS25AUGFUT</v>
          </cell>
          <cell r="C411">
            <v>16694530</v>
          </cell>
          <cell r="D411">
            <v>65213</v>
          </cell>
        </row>
        <row r="412">
          <cell r="A412" t="str">
            <v>TATAPOWER25JULFUT</v>
          </cell>
          <cell r="B412" t="str">
            <v>TATAPOWER25JULFUT</v>
          </cell>
          <cell r="C412">
            <v>13683970</v>
          </cell>
          <cell r="D412">
            <v>53453</v>
          </cell>
        </row>
        <row r="413">
          <cell r="A413" t="str">
            <v>TATAPOWER25AUGFUT</v>
          </cell>
          <cell r="B413" t="str">
            <v>TATAPOWER25AUGFUT</v>
          </cell>
          <cell r="C413">
            <v>16695554</v>
          </cell>
          <cell r="D413">
            <v>65217</v>
          </cell>
        </row>
        <row r="414">
          <cell r="A414" t="str">
            <v>TATASTEEL25JULFUT</v>
          </cell>
          <cell r="B414" t="str">
            <v>TATASTEEL25JULFUT</v>
          </cell>
          <cell r="C414">
            <v>13684226</v>
          </cell>
          <cell r="D414">
            <v>53454</v>
          </cell>
        </row>
        <row r="415">
          <cell r="A415" t="str">
            <v>TATASTEEL25AUGFUT</v>
          </cell>
          <cell r="B415" t="str">
            <v>TATASTEEL25AUGFUT</v>
          </cell>
          <cell r="C415">
            <v>16695810</v>
          </cell>
          <cell r="D415">
            <v>65218</v>
          </cell>
        </row>
        <row r="416">
          <cell r="A416" t="str">
            <v>TATATECH25JULFUT</v>
          </cell>
          <cell r="B416" t="str">
            <v>TATATECH25JULFUT</v>
          </cell>
          <cell r="C416">
            <v>13684482</v>
          </cell>
          <cell r="D416">
            <v>53455</v>
          </cell>
        </row>
        <row r="417">
          <cell r="A417" t="str">
            <v>TATATECH25AUGFUT</v>
          </cell>
          <cell r="B417" t="str">
            <v>TATATECH25AUGFUT</v>
          </cell>
          <cell r="C417">
            <v>16696578</v>
          </cell>
          <cell r="D417">
            <v>65221</v>
          </cell>
        </row>
        <row r="418">
          <cell r="A418" t="str">
            <v>TCS25JULFUT</v>
          </cell>
          <cell r="B418" t="str">
            <v>TCS25JULFUT</v>
          </cell>
          <cell r="C418">
            <v>13685762</v>
          </cell>
          <cell r="D418">
            <v>53460</v>
          </cell>
        </row>
        <row r="419">
          <cell r="A419" t="str">
            <v>TCS25AUGFUT</v>
          </cell>
          <cell r="B419" t="str">
            <v>TCS25AUGFUT</v>
          </cell>
          <cell r="C419">
            <v>16696834</v>
          </cell>
          <cell r="D419">
            <v>65222</v>
          </cell>
        </row>
        <row r="420">
          <cell r="A420" t="str">
            <v>TECHM25JULFUT</v>
          </cell>
          <cell r="B420" t="str">
            <v>TECHM25JULFUT</v>
          </cell>
          <cell r="C420">
            <v>13686018</v>
          </cell>
          <cell r="D420">
            <v>53461</v>
          </cell>
        </row>
        <row r="421">
          <cell r="A421" t="str">
            <v>TECHM25AUGFUT</v>
          </cell>
          <cell r="B421" t="str">
            <v>TECHM25AUGFUT</v>
          </cell>
          <cell r="C421">
            <v>16697090</v>
          </cell>
          <cell r="D421">
            <v>65223</v>
          </cell>
        </row>
        <row r="422">
          <cell r="A422" t="str">
            <v>TIINDIA25JULFUT</v>
          </cell>
          <cell r="B422" t="str">
            <v>TIINDIA25JULFUT</v>
          </cell>
          <cell r="C422">
            <v>13686786</v>
          </cell>
          <cell r="D422">
            <v>53464</v>
          </cell>
        </row>
        <row r="423">
          <cell r="A423" t="str">
            <v>TIINDIA25AUGFUT</v>
          </cell>
          <cell r="B423" t="str">
            <v>TIINDIA25AUGFUT</v>
          </cell>
          <cell r="C423">
            <v>16697346</v>
          </cell>
          <cell r="D423">
            <v>65224</v>
          </cell>
        </row>
        <row r="424">
          <cell r="A424" t="str">
            <v>TITAGARH25JULFUT</v>
          </cell>
          <cell r="B424" t="str">
            <v>TITAGARH25JULFUT</v>
          </cell>
          <cell r="C424">
            <v>13687042</v>
          </cell>
          <cell r="D424">
            <v>53465</v>
          </cell>
        </row>
        <row r="425">
          <cell r="A425" t="str">
            <v>TITAGARH25AUGFUT</v>
          </cell>
          <cell r="B425" t="str">
            <v>TITAGARH25AUGFUT</v>
          </cell>
          <cell r="C425">
            <v>16697602</v>
          </cell>
          <cell r="D425">
            <v>65225</v>
          </cell>
        </row>
        <row r="426">
          <cell r="A426" t="str">
            <v>TITAN25JULFUT</v>
          </cell>
          <cell r="B426" t="str">
            <v>TITAN25JULFUT</v>
          </cell>
          <cell r="C426">
            <v>13687298</v>
          </cell>
          <cell r="D426">
            <v>53466</v>
          </cell>
        </row>
        <row r="427">
          <cell r="A427" t="str">
            <v>TITAN25AUGFUT</v>
          </cell>
          <cell r="B427" t="str">
            <v>TITAN25AUGFUT</v>
          </cell>
          <cell r="C427">
            <v>16697858</v>
          </cell>
          <cell r="D427">
            <v>65226</v>
          </cell>
        </row>
        <row r="428">
          <cell r="A428" t="str">
            <v>TORNTPHARM25JULFUT</v>
          </cell>
          <cell r="B428" t="str">
            <v>TORNTPHARM25JULFUT</v>
          </cell>
          <cell r="C428">
            <v>13687554</v>
          </cell>
          <cell r="D428">
            <v>53467</v>
          </cell>
        </row>
        <row r="429">
          <cell r="A429" t="str">
            <v>TORNTPHARM25AUGFUT</v>
          </cell>
          <cell r="B429" t="str">
            <v>TORNTPHARM25AUGFUT</v>
          </cell>
          <cell r="C429">
            <v>16698114</v>
          </cell>
          <cell r="D429">
            <v>65227</v>
          </cell>
        </row>
        <row r="430">
          <cell r="A430" t="str">
            <v>TORNTPOWER25JULFUT</v>
          </cell>
          <cell r="B430" t="str">
            <v>TORNTPOWER25JULFUT</v>
          </cell>
          <cell r="C430">
            <v>13687810</v>
          </cell>
          <cell r="D430">
            <v>53468</v>
          </cell>
        </row>
        <row r="431">
          <cell r="A431" t="str">
            <v>TORNTPOWER25AUGFUT</v>
          </cell>
          <cell r="B431" t="str">
            <v>TORNTPOWER25AUGFUT</v>
          </cell>
          <cell r="C431">
            <v>16698370</v>
          </cell>
          <cell r="D431">
            <v>65228</v>
          </cell>
        </row>
        <row r="432">
          <cell r="A432" t="str">
            <v>TRENT25JULFUT</v>
          </cell>
          <cell r="B432" t="str">
            <v>TRENT25JULFUT</v>
          </cell>
          <cell r="C432">
            <v>13688066</v>
          </cell>
          <cell r="D432">
            <v>53469</v>
          </cell>
        </row>
        <row r="433">
          <cell r="A433" t="str">
            <v>TRENT25AUGFUT</v>
          </cell>
          <cell r="B433" t="str">
            <v>TRENT25AUGFUT</v>
          </cell>
          <cell r="C433">
            <v>16699138</v>
          </cell>
          <cell r="D433">
            <v>65231</v>
          </cell>
        </row>
        <row r="434">
          <cell r="A434" t="str">
            <v>TVSMOTOR25JULFUT</v>
          </cell>
          <cell r="B434" t="str">
            <v>TVSMOTOR25JULFUT</v>
          </cell>
          <cell r="C434">
            <v>13688322</v>
          </cell>
          <cell r="D434">
            <v>53470</v>
          </cell>
        </row>
        <row r="435">
          <cell r="A435" t="str">
            <v>TVSMOTOR25AUGFUT</v>
          </cell>
          <cell r="B435" t="str">
            <v>TVSMOTOR25AUGFUT</v>
          </cell>
          <cell r="C435">
            <v>16699394</v>
          </cell>
          <cell r="D435">
            <v>65232</v>
          </cell>
        </row>
        <row r="436">
          <cell r="A436" t="str">
            <v>ULTRACEMCO25JULFUT</v>
          </cell>
          <cell r="B436" t="str">
            <v>ULTRACEMCO25JULFUT</v>
          </cell>
          <cell r="C436">
            <v>13688578</v>
          </cell>
          <cell r="D436">
            <v>53471</v>
          </cell>
        </row>
        <row r="437">
          <cell r="A437" t="str">
            <v>ULTRACEMCO25AUGFUT</v>
          </cell>
          <cell r="B437" t="str">
            <v>ULTRACEMCO25AUGFUT</v>
          </cell>
          <cell r="C437">
            <v>16699650</v>
          </cell>
          <cell r="D437">
            <v>65233</v>
          </cell>
        </row>
        <row r="438">
          <cell r="A438" t="str">
            <v>UNIONBANK25JULFUT</v>
          </cell>
          <cell r="B438" t="str">
            <v>UNIONBANK25JULFUT</v>
          </cell>
          <cell r="C438">
            <v>13688834</v>
          </cell>
          <cell r="D438">
            <v>53472</v>
          </cell>
        </row>
        <row r="439">
          <cell r="A439" t="str">
            <v>UNIONBANK25AUGFUT</v>
          </cell>
          <cell r="B439" t="str">
            <v>UNIONBANK25AUGFUT</v>
          </cell>
          <cell r="C439">
            <v>16699906</v>
          </cell>
          <cell r="D439">
            <v>65234</v>
          </cell>
        </row>
        <row r="440">
          <cell r="A440" t="str">
            <v>UNITDSPR25JULFUT</v>
          </cell>
          <cell r="B440" t="str">
            <v>UNITDSPR25JULFUT</v>
          </cell>
          <cell r="C440">
            <v>13689090</v>
          </cell>
          <cell r="D440">
            <v>53473</v>
          </cell>
        </row>
        <row r="441">
          <cell r="A441" t="str">
            <v>UNITDSPR25AUGFUT</v>
          </cell>
          <cell r="B441" t="str">
            <v>UNITDSPR25AUGFUT</v>
          </cell>
          <cell r="C441">
            <v>16700162</v>
          </cell>
          <cell r="D441">
            <v>65235</v>
          </cell>
        </row>
        <row r="442">
          <cell r="A442" t="str">
            <v>UNOMINDA25JULFUT</v>
          </cell>
          <cell r="B442" t="str">
            <v>UNOMINDA25JULFUT</v>
          </cell>
          <cell r="C442">
            <v>16701186</v>
          </cell>
          <cell r="D442">
            <v>65239</v>
          </cell>
        </row>
        <row r="443">
          <cell r="A443" t="str">
            <v>UNOMINDA25AUGFUT</v>
          </cell>
          <cell r="B443" t="str">
            <v>UNOMINDA25AUGFUT</v>
          </cell>
          <cell r="C443">
            <v>16701954</v>
          </cell>
          <cell r="D443">
            <v>65242</v>
          </cell>
        </row>
        <row r="444">
          <cell r="A444" t="str">
            <v>UPL25JULFUT</v>
          </cell>
          <cell r="B444" t="str">
            <v>UPL25JULFUT</v>
          </cell>
          <cell r="C444">
            <v>13689346</v>
          </cell>
          <cell r="D444">
            <v>53474</v>
          </cell>
        </row>
        <row r="445">
          <cell r="A445" t="str">
            <v>UPL25AUGFUT</v>
          </cell>
          <cell r="B445" t="str">
            <v>UPL25AUGFUT</v>
          </cell>
          <cell r="C445">
            <v>16702210</v>
          </cell>
          <cell r="D445">
            <v>65243</v>
          </cell>
        </row>
        <row r="446">
          <cell r="A446" t="str">
            <v>VBL25JULFUT</v>
          </cell>
          <cell r="B446" t="str">
            <v>VBL25JULFUT</v>
          </cell>
          <cell r="C446">
            <v>13689602</v>
          </cell>
          <cell r="D446">
            <v>53475</v>
          </cell>
        </row>
        <row r="447">
          <cell r="A447" t="str">
            <v>VBL25AUGFUT</v>
          </cell>
          <cell r="B447" t="str">
            <v>VBL25AUGFUT</v>
          </cell>
          <cell r="C447">
            <v>16702466</v>
          </cell>
          <cell r="D447">
            <v>65244</v>
          </cell>
        </row>
        <row r="448">
          <cell r="A448" t="str">
            <v>VEDL25JULFUT</v>
          </cell>
          <cell r="B448" t="str">
            <v>VEDL25JULFUT</v>
          </cell>
          <cell r="C448">
            <v>13690370</v>
          </cell>
          <cell r="D448">
            <v>53478</v>
          </cell>
        </row>
        <row r="449">
          <cell r="A449" t="str">
            <v>VEDL25AUGFUT</v>
          </cell>
          <cell r="B449" t="str">
            <v>VEDL25AUGFUT</v>
          </cell>
          <cell r="C449">
            <v>16702722</v>
          </cell>
          <cell r="D449">
            <v>65245</v>
          </cell>
        </row>
        <row r="450">
          <cell r="A450" t="str">
            <v>VOLTAS25JULFUT</v>
          </cell>
          <cell r="B450" t="str">
            <v>VOLTAS25JULFUT</v>
          </cell>
          <cell r="C450">
            <v>13690626</v>
          </cell>
          <cell r="D450">
            <v>53479</v>
          </cell>
        </row>
        <row r="451">
          <cell r="A451" t="str">
            <v>VOLTAS25AUGFUT</v>
          </cell>
          <cell r="B451" t="str">
            <v>VOLTAS25AUGFUT</v>
          </cell>
          <cell r="C451">
            <v>16703490</v>
          </cell>
          <cell r="D451">
            <v>65248</v>
          </cell>
        </row>
        <row r="452">
          <cell r="A452" t="str">
            <v>WIPRO25JULFUT</v>
          </cell>
          <cell r="B452" t="str">
            <v>WIPRO25JULFUT</v>
          </cell>
          <cell r="C452">
            <v>13690882</v>
          </cell>
          <cell r="D452">
            <v>53480</v>
          </cell>
        </row>
        <row r="453">
          <cell r="A453" t="str">
            <v>WIPRO25AUGFUT</v>
          </cell>
          <cell r="B453" t="str">
            <v>WIPRO25AUGFUT</v>
          </cell>
          <cell r="C453">
            <v>16703746</v>
          </cell>
          <cell r="D453">
            <v>65249</v>
          </cell>
        </row>
        <row r="454">
          <cell r="A454" t="str">
            <v>YESBANK25JULFUT</v>
          </cell>
          <cell r="B454" t="str">
            <v>YESBANK25JULFUT</v>
          </cell>
          <cell r="C454">
            <v>13691138</v>
          </cell>
          <cell r="D454">
            <v>53481</v>
          </cell>
        </row>
        <row r="455">
          <cell r="A455" t="str">
            <v>YESBANK25AUGFUT</v>
          </cell>
          <cell r="B455" t="str">
            <v>YESBANK25AUGFUT</v>
          </cell>
          <cell r="C455">
            <v>16704002</v>
          </cell>
          <cell r="D455">
            <v>65250</v>
          </cell>
        </row>
        <row r="456">
          <cell r="A456" t="str">
            <v>ZYDUSLIFE25JULFUT</v>
          </cell>
          <cell r="B456" t="str">
            <v>ZYDUSLIFE25JULFUT</v>
          </cell>
          <cell r="C456">
            <v>13691906</v>
          </cell>
          <cell r="D456">
            <v>53484</v>
          </cell>
        </row>
        <row r="457">
          <cell r="A457" t="str">
            <v>ZYDUSLIFE25AUGFUT</v>
          </cell>
          <cell r="B457" t="str">
            <v>ZYDUSLIFE25AUGFUT</v>
          </cell>
          <cell r="C457">
            <v>16704258</v>
          </cell>
          <cell r="D457">
            <v>65251</v>
          </cell>
        </row>
        <row r="458">
          <cell r="A458" t="str">
            <v>ALUMINI25JULFUT</v>
          </cell>
          <cell r="B458" t="str">
            <v>ALUMINI25JULFUT</v>
          </cell>
          <cell r="C458">
            <v>115365127</v>
          </cell>
        </row>
        <row r="459">
          <cell r="A459" t="str">
            <v>ALUMINIUM25JULFUT</v>
          </cell>
          <cell r="B459" t="str">
            <v>ALUMINIUM25JULFUT</v>
          </cell>
          <cell r="C459">
            <v>115365383</v>
          </cell>
        </row>
        <row r="460">
          <cell r="A460" t="str">
            <v>COPPER25JULFUT</v>
          </cell>
          <cell r="B460" t="str">
            <v>COPPER25JULFUT</v>
          </cell>
          <cell r="C460">
            <v>115365639</v>
          </cell>
        </row>
        <row r="461">
          <cell r="A461" t="str">
            <v>CRUDEOIL25JULFUT</v>
          </cell>
          <cell r="B461" t="str">
            <v>CRUDEOIL25JULFUT</v>
          </cell>
          <cell r="C461">
            <v>114573319</v>
          </cell>
        </row>
        <row r="462">
          <cell r="A462" t="str">
            <v>CRUDEOILM25JULFUT</v>
          </cell>
          <cell r="B462" t="str">
            <v>CRUDEOILM25JULFUT</v>
          </cell>
          <cell r="C462">
            <v>114573575</v>
          </cell>
        </row>
        <row r="463">
          <cell r="A463" t="str">
            <v>GOLDM25JULFUT</v>
          </cell>
          <cell r="B463" t="str">
            <v>GOLDM25JULFUT</v>
          </cell>
          <cell r="C463">
            <v>116027143</v>
          </cell>
        </row>
        <row r="464">
          <cell r="A464" t="str">
            <v>GOLDM25AUGFUT</v>
          </cell>
          <cell r="B464" t="str">
            <v>GOLDM25AUGFUT</v>
          </cell>
          <cell r="C464">
            <v>117018887</v>
          </cell>
        </row>
        <row r="465">
          <cell r="A465" t="str">
            <v>GOLDM25AUGFUT</v>
          </cell>
          <cell r="B465" t="str">
            <v>GOLDM25SEPFUT</v>
          </cell>
          <cell r="C465">
            <v>117426439</v>
          </cell>
        </row>
        <row r="466">
          <cell r="A466" t="str">
            <v>GOLDPETAL25JULFUT</v>
          </cell>
          <cell r="B466" t="str">
            <v>GOLDPETAL25JULFUT</v>
          </cell>
          <cell r="C466">
            <v>115931655</v>
          </cell>
        </row>
        <row r="467">
          <cell r="A467" t="str">
            <v>GOLDTEN25JULFUT</v>
          </cell>
          <cell r="B467" t="str">
            <v>GOLDTEN25JULFUT</v>
          </cell>
          <cell r="C467">
            <v>116983815</v>
          </cell>
        </row>
        <row r="468">
          <cell r="A468" t="str">
            <v>NATGASMINI25JULFUT</v>
          </cell>
          <cell r="B468" t="str">
            <v>NATGASMINI25JULFUT</v>
          </cell>
          <cell r="C468">
            <v>114649607</v>
          </cell>
        </row>
        <row r="469">
          <cell r="A469" t="str">
            <v>NATURALGAS25JULFUT</v>
          </cell>
          <cell r="B469" t="str">
            <v>NATURALGAS25JULFUT</v>
          </cell>
          <cell r="C469">
            <v>114649351</v>
          </cell>
        </row>
        <row r="470">
          <cell r="A470" t="str">
            <v>SILVER25JULFUT</v>
          </cell>
          <cell r="B470" t="str">
            <v>SILVER25JULFUT</v>
          </cell>
          <cell r="C470">
            <v>111764487</v>
          </cell>
        </row>
        <row r="471">
          <cell r="A471" t="str">
            <v>STEELREBAR25JULFUT</v>
          </cell>
          <cell r="B471" t="str">
            <v>STEELREBAR25JULFUT</v>
          </cell>
          <cell r="C471">
            <v>115366663</v>
          </cell>
        </row>
        <row r="472">
          <cell r="A472" t="str">
            <v>ZINC25JULFUT</v>
          </cell>
          <cell r="B472" t="str">
            <v>ZINC25JULFUT</v>
          </cell>
          <cell r="C472">
            <v>115366919</v>
          </cell>
        </row>
        <row r="473">
          <cell r="A473" t="str">
            <v>ZINCMINI25JULFUT</v>
          </cell>
          <cell r="B473" t="str">
            <v>ZINCMINI25JULFUT</v>
          </cell>
          <cell r="C473">
            <v>115367175</v>
          </cell>
        </row>
      </sheetData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EE55-ABC0-4E3E-B944-1C48FBBD4754}">
  <sheetPr codeName="Sheet8"/>
  <dimension ref="A1:T384"/>
  <sheetViews>
    <sheetView tabSelected="1" zoomScale="85" zoomScaleNormal="85" workbookViewId="0">
      <pane ySplit="5" topLeftCell="A6" activePane="bottomLeft" state="frozen"/>
      <selection pane="bottomLeft" activeCell="F28" sqref="F28"/>
    </sheetView>
  </sheetViews>
  <sheetFormatPr defaultRowHeight="14.25"/>
  <cols>
    <col min="1" max="1" width="21" style="8" bestFit="1" customWidth="1"/>
    <col min="2" max="2" width="15.625" style="2" bestFit="1" customWidth="1"/>
    <col min="3" max="3" width="8.375" style="2" bestFit="1" customWidth="1"/>
    <col min="4" max="4" width="8.875" style="2" bestFit="1" customWidth="1"/>
    <col min="5" max="5" width="9.125" style="2" bestFit="1" customWidth="1"/>
    <col min="6" max="6" width="11" style="2" bestFit="1" customWidth="1"/>
    <col min="7" max="7" width="7.875" style="2" bestFit="1" customWidth="1"/>
    <col min="8" max="8" width="21.125" style="2" bestFit="1" customWidth="1"/>
    <col min="9" max="9" width="15.75" style="2" bestFit="1" customWidth="1"/>
    <col min="10" max="10" width="15.875" style="2" bestFit="1" customWidth="1"/>
    <col min="11" max="11" width="13" style="2" bestFit="1" customWidth="1"/>
    <col min="12" max="12" width="29.625" style="2" bestFit="1" customWidth="1"/>
    <col min="13" max="13" width="16.75" style="2" bestFit="1" customWidth="1"/>
    <col min="14" max="14" width="4.875" style="2" bestFit="1" customWidth="1"/>
    <col min="15" max="15" width="2.625" style="2" bestFit="1" customWidth="1"/>
    <col min="16" max="16" width="13.125" style="2" bestFit="1" customWidth="1"/>
    <col min="17" max="17" width="9.125" style="2" bestFit="1" customWidth="1"/>
    <col min="18" max="18" width="2.625" style="2" bestFit="1" customWidth="1"/>
    <col min="19" max="19" width="9.5" style="2" bestFit="1" customWidth="1"/>
    <col min="20" max="20" width="6.125" style="2" bestFit="1" customWidth="1"/>
    <col min="21" max="21" width="8.375" style="2" bestFit="1" customWidth="1"/>
    <col min="22" max="22" width="6.125" style="2" bestFit="1" customWidth="1"/>
    <col min="23" max="16384" width="9" style="2"/>
  </cols>
  <sheetData>
    <row r="1" spans="1:20" ht="15">
      <c r="A1" s="1" t="s">
        <v>0</v>
      </c>
      <c r="B1" s="2" t="s">
        <v>1</v>
      </c>
      <c r="D1" s="3" t="s">
        <v>2</v>
      </c>
      <c r="E1" s="2" t="s">
        <v>3</v>
      </c>
      <c r="G1" s="3" t="s">
        <v>4</v>
      </c>
      <c r="I1" s="3" t="s">
        <v>5</v>
      </c>
      <c r="K1" s="3" t="s">
        <v>6</v>
      </c>
      <c r="M1" s="3" t="s">
        <v>7</v>
      </c>
      <c r="N1" s="4">
        <v>2</v>
      </c>
      <c r="P1" s="3" t="s">
        <v>8</v>
      </c>
      <c r="Q1" s="2" t="s">
        <v>9</v>
      </c>
      <c r="S1" s="3" t="s">
        <v>10</v>
      </c>
      <c r="T1" s="2">
        <v>1053</v>
      </c>
    </row>
    <row r="2" spans="1:20" ht="15">
      <c r="A2" s="1" t="s">
        <v>11</v>
      </c>
      <c r="B2" s="2" t="str">
        <f>VLOOKUP(B1,[1]Config2!A13:D1001,2,0)</f>
        <v>NIFTY25JULFUT</v>
      </c>
      <c r="D2" s="3" t="s">
        <v>12</v>
      </c>
      <c r="E2" s="5" t="s">
        <v>13</v>
      </c>
      <c r="G2" s="3" t="s">
        <v>14</v>
      </c>
      <c r="I2" s="3" t="s">
        <v>15</v>
      </c>
      <c r="K2" s="3" t="s">
        <v>16</v>
      </c>
      <c r="M2" s="3" t="s">
        <v>17</v>
      </c>
      <c r="N2" s="4">
        <v>2</v>
      </c>
      <c r="P2" s="3" t="s">
        <v>18</v>
      </c>
      <c r="Q2" s="5" t="s">
        <v>19</v>
      </c>
      <c r="S2" s="3" t="s">
        <v>20</v>
      </c>
      <c r="T2" s="2">
        <v>1041.8</v>
      </c>
    </row>
    <row r="3" spans="1:20" ht="15">
      <c r="A3" s="1" t="s">
        <v>21</v>
      </c>
      <c r="B3" s="6">
        <f>VLOOKUP(B2,[1]Config2!B13:C1001,2,0)</f>
        <v>13623298</v>
      </c>
      <c r="D3" s="3" t="s">
        <v>22</v>
      </c>
      <c r="E3" s="5" t="s">
        <v>23</v>
      </c>
      <c r="I3" s="3" t="s">
        <v>24</v>
      </c>
      <c r="J3" s="7"/>
      <c r="K3" s="3" t="s">
        <v>25</v>
      </c>
      <c r="S3" s="3" t="s">
        <v>26</v>
      </c>
      <c r="T3" s="2">
        <v>1041.8</v>
      </c>
    </row>
    <row r="4" spans="1:20" ht="15">
      <c r="S4" s="3" t="s">
        <v>27</v>
      </c>
      <c r="T4" s="2">
        <v>1052.2</v>
      </c>
    </row>
    <row r="5" spans="1:20" ht="15">
      <c r="A5" s="9" t="s">
        <v>28</v>
      </c>
      <c r="B5" s="10" t="s">
        <v>29</v>
      </c>
      <c r="C5" s="10" t="s">
        <v>30</v>
      </c>
      <c r="D5" s="10" t="s">
        <v>31</v>
      </c>
      <c r="E5" s="10" t="s">
        <v>32</v>
      </c>
      <c r="F5" s="10" t="s">
        <v>33</v>
      </c>
      <c r="G5" s="10" t="s">
        <v>34</v>
      </c>
      <c r="H5" s="11" t="s">
        <v>35</v>
      </c>
      <c r="I5" s="11" t="s">
        <v>36</v>
      </c>
      <c r="J5" s="12" t="s">
        <v>37</v>
      </c>
      <c r="K5" s="12" t="s">
        <v>38</v>
      </c>
      <c r="L5" s="10" t="s">
        <v>39</v>
      </c>
      <c r="M5" s="10" t="s">
        <v>40</v>
      </c>
    </row>
    <row r="6" spans="1:20">
      <c r="A6" s="13"/>
      <c r="H6" s="2" t="e">
        <f t="shared" ref="H6:H69" si="0">F6-F5</f>
        <v>#VALUE!</v>
      </c>
      <c r="I6" s="14" t="e">
        <f t="shared" ref="I6:I69" si="1">H6/F5</f>
        <v>#VALUE!</v>
      </c>
      <c r="J6" s="2" t="e">
        <f t="shared" ref="J6:J69" si="2">G6-G5</f>
        <v>#VALUE!</v>
      </c>
      <c r="K6" s="14" t="e">
        <f t="shared" ref="K6:K69" si="3">J6/G5</f>
        <v>#VALUE!</v>
      </c>
      <c r="L6" s="7" t="e">
        <f>IF(AND(E6&gt;$T$4,I6&gt;$N$1),"BEARISH",IF(AND(E6&lt;$T$3,I6&gt;$N$1),"BULLISH",""))</f>
        <v>#VALUE!</v>
      </c>
      <c r="M6" s="2" t="e">
        <f>IF(AND(E6&gt;$T$3,E5&lt;$T$44,I6&gt;$N$2),"BEARISH REVERESAL",IF(AND(E6&lt;$T$4,E5&gt;$T$3,I6&gt;$N$2),"BULLISH REVERESAL",""))</f>
        <v>#VALUE!</v>
      </c>
    </row>
    <row r="7" spans="1:20">
      <c r="A7" s="13"/>
      <c r="H7" s="2">
        <f t="shared" si="0"/>
        <v>0</v>
      </c>
      <c r="I7" s="14" t="e">
        <f t="shared" si="1"/>
        <v>#DIV/0!</v>
      </c>
      <c r="J7" s="2">
        <f t="shared" si="2"/>
        <v>0</v>
      </c>
      <c r="K7" s="14" t="e">
        <f t="shared" si="3"/>
        <v>#DIV/0!</v>
      </c>
      <c r="L7" s="7" t="e">
        <f t="shared" ref="L7:L70" si="4">IF(AND(E7&gt;$T$4,I7&gt;$N$1),"BEARISH",IF(AND(E7&lt;$T$3,I7&gt;$N$1),"BULLISH",""))</f>
        <v>#DIV/0!</v>
      </c>
      <c r="M7" s="2" t="e">
        <f t="shared" ref="M7:M70" si="5">IF(AND(E7&gt;$T$3,E6&lt;$T$44,I7&gt;$N$2),"BEARISH REVERESAL",IF(AND(E7&lt;$T$4,E6&gt;$T$3,I7&gt;$N$2),"BULLISH REVERESAL",""))</f>
        <v>#DIV/0!</v>
      </c>
    </row>
    <row r="8" spans="1:20">
      <c r="A8" s="13"/>
      <c r="H8" s="2">
        <f t="shared" si="0"/>
        <v>0</v>
      </c>
      <c r="I8" s="14" t="e">
        <f t="shared" si="1"/>
        <v>#DIV/0!</v>
      </c>
      <c r="J8" s="2">
        <f t="shared" si="2"/>
        <v>0</v>
      </c>
      <c r="K8" s="14" t="e">
        <f t="shared" si="3"/>
        <v>#DIV/0!</v>
      </c>
      <c r="L8" s="7" t="e">
        <f t="shared" si="4"/>
        <v>#DIV/0!</v>
      </c>
      <c r="M8" s="2" t="e">
        <f t="shared" si="5"/>
        <v>#DIV/0!</v>
      </c>
    </row>
    <row r="9" spans="1:20">
      <c r="A9" s="13"/>
      <c r="H9" s="2">
        <f t="shared" si="0"/>
        <v>0</v>
      </c>
      <c r="I9" s="14" t="e">
        <f t="shared" si="1"/>
        <v>#DIV/0!</v>
      </c>
      <c r="J9" s="2">
        <f t="shared" si="2"/>
        <v>0</v>
      </c>
      <c r="K9" s="14" t="e">
        <f t="shared" si="3"/>
        <v>#DIV/0!</v>
      </c>
      <c r="L9" s="7" t="e">
        <f t="shared" si="4"/>
        <v>#DIV/0!</v>
      </c>
      <c r="M9" s="2" t="e">
        <f t="shared" si="5"/>
        <v>#DIV/0!</v>
      </c>
    </row>
    <row r="10" spans="1:20">
      <c r="A10" s="13"/>
      <c r="H10" s="2">
        <f t="shared" si="0"/>
        <v>0</v>
      </c>
      <c r="I10" s="14" t="e">
        <f t="shared" si="1"/>
        <v>#DIV/0!</v>
      </c>
      <c r="J10" s="2">
        <f t="shared" si="2"/>
        <v>0</v>
      </c>
      <c r="K10" s="14" t="e">
        <f t="shared" si="3"/>
        <v>#DIV/0!</v>
      </c>
      <c r="L10" s="7" t="e">
        <f t="shared" si="4"/>
        <v>#DIV/0!</v>
      </c>
      <c r="M10" s="2" t="e">
        <f t="shared" si="5"/>
        <v>#DIV/0!</v>
      </c>
    </row>
    <row r="11" spans="1:20">
      <c r="A11" s="13"/>
      <c r="H11" s="2">
        <f t="shared" si="0"/>
        <v>0</v>
      </c>
      <c r="I11" s="14" t="e">
        <f t="shared" si="1"/>
        <v>#DIV/0!</v>
      </c>
      <c r="J11" s="2">
        <f t="shared" si="2"/>
        <v>0</v>
      </c>
      <c r="K11" s="14" t="e">
        <f t="shared" si="3"/>
        <v>#DIV/0!</v>
      </c>
      <c r="L11" s="7" t="e">
        <f t="shared" si="4"/>
        <v>#DIV/0!</v>
      </c>
      <c r="M11" s="2" t="e">
        <f t="shared" si="5"/>
        <v>#DIV/0!</v>
      </c>
    </row>
    <row r="12" spans="1:20">
      <c r="A12" s="13"/>
      <c r="H12" s="2">
        <f t="shared" si="0"/>
        <v>0</v>
      </c>
      <c r="I12" s="14" t="e">
        <f t="shared" si="1"/>
        <v>#DIV/0!</v>
      </c>
      <c r="J12" s="2">
        <f t="shared" si="2"/>
        <v>0</v>
      </c>
      <c r="K12" s="14" t="e">
        <f t="shared" si="3"/>
        <v>#DIV/0!</v>
      </c>
      <c r="L12" s="7" t="e">
        <f t="shared" si="4"/>
        <v>#DIV/0!</v>
      </c>
      <c r="M12" s="2" t="e">
        <f t="shared" si="5"/>
        <v>#DIV/0!</v>
      </c>
    </row>
    <row r="13" spans="1:20">
      <c r="A13" s="13"/>
      <c r="H13" s="2">
        <f t="shared" si="0"/>
        <v>0</v>
      </c>
      <c r="I13" s="14" t="e">
        <f t="shared" si="1"/>
        <v>#DIV/0!</v>
      </c>
      <c r="J13" s="2">
        <f t="shared" si="2"/>
        <v>0</v>
      </c>
      <c r="K13" s="14" t="e">
        <f t="shared" si="3"/>
        <v>#DIV/0!</v>
      </c>
      <c r="L13" s="7" t="e">
        <f t="shared" si="4"/>
        <v>#DIV/0!</v>
      </c>
      <c r="M13" s="2" t="e">
        <f t="shared" si="5"/>
        <v>#DIV/0!</v>
      </c>
    </row>
    <row r="14" spans="1:20">
      <c r="A14" s="13"/>
      <c r="H14" s="2">
        <f t="shared" si="0"/>
        <v>0</v>
      </c>
      <c r="I14" s="14" t="e">
        <f t="shared" si="1"/>
        <v>#DIV/0!</v>
      </c>
      <c r="J14" s="2">
        <f t="shared" si="2"/>
        <v>0</v>
      </c>
      <c r="K14" s="14" t="e">
        <f t="shared" si="3"/>
        <v>#DIV/0!</v>
      </c>
      <c r="L14" s="7" t="e">
        <f t="shared" si="4"/>
        <v>#DIV/0!</v>
      </c>
      <c r="M14" s="2" t="e">
        <f t="shared" si="5"/>
        <v>#DIV/0!</v>
      </c>
    </row>
    <row r="15" spans="1:20">
      <c r="A15" s="13"/>
      <c r="H15" s="2">
        <f t="shared" si="0"/>
        <v>0</v>
      </c>
      <c r="I15" s="14" t="e">
        <f t="shared" si="1"/>
        <v>#DIV/0!</v>
      </c>
      <c r="J15" s="2">
        <f t="shared" si="2"/>
        <v>0</v>
      </c>
      <c r="K15" s="14" t="e">
        <f t="shared" si="3"/>
        <v>#DIV/0!</v>
      </c>
      <c r="L15" s="7" t="e">
        <f t="shared" si="4"/>
        <v>#DIV/0!</v>
      </c>
      <c r="M15" s="2" t="e">
        <f t="shared" si="5"/>
        <v>#DIV/0!</v>
      </c>
    </row>
    <row r="16" spans="1:20">
      <c r="A16" s="13"/>
      <c r="H16" s="2">
        <f t="shared" si="0"/>
        <v>0</v>
      </c>
      <c r="I16" s="14" t="e">
        <f t="shared" si="1"/>
        <v>#DIV/0!</v>
      </c>
      <c r="J16" s="2">
        <f t="shared" si="2"/>
        <v>0</v>
      </c>
      <c r="K16" s="14" t="e">
        <f t="shared" si="3"/>
        <v>#DIV/0!</v>
      </c>
      <c r="L16" s="7" t="e">
        <f t="shared" si="4"/>
        <v>#DIV/0!</v>
      </c>
      <c r="M16" s="2" t="e">
        <f t="shared" si="5"/>
        <v>#DIV/0!</v>
      </c>
    </row>
    <row r="17" spans="1:13">
      <c r="A17" s="13"/>
      <c r="H17" s="2">
        <f t="shared" si="0"/>
        <v>0</v>
      </c>
      <c r="I17" s="14" t="e">
        <f t="shared" si="1"/>
        <v>#DIV/0!</v>
      </c>
      <c r="J17" s="2">
        <f t="shared" si="2"/>
        <v>0</v>
      </c>
      <c r="K17" s="14" t="e">
        <f t="shared" si="3"/>
        <v>#DIV/0!</v>
      </c>
      <c r="L17" s="7" t="e">
        <f t="shared" si="4"/>
        <v>#DIV/0!</v>
      </c>
      <c r="M17" s="2" t="e">
        <f t="shared" si="5"/>
        <v>#DIV/0!</v>
      </c>
    </row>
    <row r="18" spans="1:13">
      <c r="A18" s="13"/>
      <c r="H18" s="2">
        <f t="shared" si="0"/>
        <v>0</v>
      </c>
      <c r="I18" s="14" t="e">
        <f t="shared" si="1"/>
        <v>#DIV/0!</v>
      </c>
      <c r="J18" s="2">
        <f t="shared" si="2"/>
        <v>0</v>
      </c>
      <c r="K18" s="14" t="e">
        <f t="shared" si="3"/>
        <v>#DIV/0!</v>
      </c>
      <c r="L18" s="7" t="e">
        <f t="shared" si="4"/>
        <v>#DIV/0!</v>
      </c>
      <c r="M18" s="2" t="e">
        <f t="shared" si="5"/>
        <v>#DIV/0!</v>
      </c>
    </row>
    <row r="19" spans="1:13">
      <c r="A19" s="13"/>
      <c r="H19" s="2">
        <f t="shared" si="0"/>
        <v>0</v>
      </c>
      <c r="I19" s="14" t="e">
        <f t="shared" si="1"/>
        <v>#DIV/0!</v>
      </c>
      <c r="J19" s="2">
        <f t="shared" si="2"/>
        <v>0</v>
      </c>
      <c r="K19" s="14" t="e">
        <f t="shared" si="3"/>
        <v>#DIV/0!</v>
      </c>
      <c r="L19" s="7" t="e">
        <f t="shared" si="4"/>
        <v>#DIV/0!</v>
      </c>
      <c r="M19" s="2" t="e">
        <f t="shared" si="5"/>
        <v>#DIV/0!</v>
      </c>
    </row>
    <row r="20" spans="1:13">
      <c r="A20" s="13"/>
      <c r="H20" s="2">
        <f t="shared" si="0"/>
        <v>0</v>
      </c>
      <c r="I20" s="14" t="e">
        <f t="shared" si="1"/>
        <v>#DIV/0!</v>
      </c>
      <c r="J20" s="2">
        <f t="shared" si="2"/>
        <v>0</v>
      </c>
      <c r="K20" s="14" t="e">
        <f t="shared" si="3"/>
        <v>#DIV/0!</v>
      </c>
      <c r="L20" s="7" t="e">
        <f t="shared" si="4"/>
        <v>#DIV/0!</v>
      </c>
      <c r="M20" s="2" t="e">
        <f t="shared" si="5"/>
        <v>#DIV/0!</v>
      </c>
    </row>
    <row r="21" spans="1:13">
      <c r="A21" s="13"/>
      <c r="H21" s="2">
        <f t="shared" si="0"/>
        <v>0</v>
      </c>
      <c r="I21" s="14" t="e">
        <f t="shared" si="1"/>
        <v>#DIV/0!</v>
      </c>
      <c r="J21" s="2">
        <f t="shared" si="2"/>
        <v>0</v>
      </c>
      <c r="K21" s="14" t="e">
        <f t="shared" si="3"/>
        <v>#DIV/0!</v>
      </c>
      <c r="L21" s="7" t="e">
        <f t="shared" si="4"/>
        <v>#DIV/0!</v>
      </c>
      <c r="M21" s="2" t="e">
        <f t="shared" si="5"/>
        <v>#DIV/0!</v>
      </c>
    </row>
    <row r="22" spans="1:13">
      <c r="A22" s="13"/>
      <c r="H22" s="2">
        <f t="shared" si="0"/>
        <v>0</v>
      </c>
      <c r="I22" s="14" t="e">
        <f t="shared" si="1"/>
        <v>#DIV/0!</v>
      </c>
      <c r="J22" s="2">
        <f t="shared" si="2"/>
        <v>0</v>
      </c>
      <c r="K22" s="14" t="e">
        <f t="shared" si="3"/>
        <v>#DIV/0!</v>
      </c>
      <c r="L22" s="7" t="e">
        <f t="shared" si="4"/>
        <v>#DIV/0!</v>
      </c>
      <c r="M22" s="2" t="e">
        <f t="shared" si="5"/>
        <v>#DIV/0!</v>
      </c>
    </row>
    <row r="23" spans="1:13">
      <c r="A23" s="13"/>
      <c r="H23" s="2">
        <f t="shared" si="0"/>
        <v>0</v>
      </c>
      <c r="I23" s="14" t="e">
        <f t="shared" si="1"/>
        <v>#DIV/0!</v>
      </c>
      <c r="J23" s="2">
        <f t="shared" si="2"/>
        <v>0</v>
      </c>
      <c r="K23" s="14" t="e">
        <f t="shared" si="3"/>
        <v>#DIV/0!</v>
      </c>
      <c r="L23" s="7" t="e">
        <f t="shared" si="4"/>
        <v>#DIV/0!</v>
      </c>
      <c r="M23" s="2" t="e">
        <f t="shared" si="5"/>
        <v>#DIV/0!</v>
      </c>
    </row>
    <row r="24" spans="1:13">
      <c r="A24" s="13"/>
      <c r="H24" s="2">
        <f t="shared" si="0"/>
        <v>0</v>
      </c>
      <c r="I24" s="14" t="e">
        <f t="shared" si="1"/>
        <v>#DIV/0!</v>
      </c>
      <c r="J24" s="2">
        <f t="shared" si="2"/>
        <v>0</v>
      </c>
      <c r="K24" s="14" t="e">
        <f t="shared" si="3"/>
        <v>#DIV/0!</v>
      </c>
      <c r="L24" s="7" t="e">
        <f t="shared" si="4"/>
        <v>#DIV/0!</v>
      </c>
      <c r="M24" s="2" t="e">
        <f t="shared" si="5"/>
        <v>#DIV/0!</v>
      </c>
    </row>
    <row r="25" spans="1:13">
      <c r="A25" s="13"/>
      <c r="H25" s="2">
        <f t="shared" si="0"/>
        <v>0</v>
      </c>
      <c r="I25" s="14" t="e">
        <f t="shared" si="1"/>
        <v>#DIV/0!</v>
      </c>
      <c r="J25" s="2">
        <f t="shared" si="2"/>
        <v>0</v>
      </c>
      <c r="K25" s="14" t="e">
        <f t="shared" si="3"/>
        <v>#DIV/0!</v>
      </c>
      <c r="L25" s="7" t="e">
        <f t="shared" si="4"/>
        <v>#DIV/0!</v>
      </c>
      <c r="M25" s="2" t="e">
        <f t="shared" si="5"/>
        <v>#DIV/0!</v>
      </c>
    </row>
    <row r="26" spans="1:13">
      <c r="A26" s="13"/>
      <c r="H26" s="2">
        <f t="shared" si="0"/>
        <v>0</v>
      </c>
      <c r="I26" s="14" t="e">
        <f t="shared" si="1"/>
        <v>#DIV/0!</v>
      </c>
      <c r="J26" s="2">
        <f t="shared" si="2"/>
        <v>0</v>
      </c>
      <c r="K26" s="14" t="e">
        <f t="shared" si="3"/>
        <v>#DIV/0!</v>
      </c>
      <c r="L26" s="7" t="e">
        <f t="shared" si="4"/>
        <v>#DIV/0!</v>
      </c>
      <c r="M26" s="2" t="e">
        <f t="shared" si="5"/>
        <v>#DIV/0!</v>
      </c>
    </row>
    <row r="27" spans="1:13">
      <c r="A27" s="13"/>
      <c r="H27" s="2">
        <f t="shared" si="0"/>
        <v>0</v>
      </c>
      <c r="I27" s="14" t="e">
        <f t="shared" si="1"/>
        <v>#DIV/0!</v>
      </c>
      <c r="J27" s="2">
        <f t="shared" si="2"/>
        <v>0</v>
      </c>
      <c r="K27" s="14" t="e">
        <f t="shared" si="3"/>
        <v>#DIV/0!</v>
      </c>
      <c r="L27" s="7" t="e">
        <f t="shared" si="4"/>
        <v>#DIV/0!</v>
      </c>
      <c r="M27" s="2" t="e">
        <f t="shared" si="5"/>
        <v>#DIV/0!</v>
      </c>
    </row>
    <row r="28" spans="1:13">
      <c r="A28" s="13"/>
      <c r="H28" s="2">
        <f t="shared" si="0"/>
        <v>0</v>
      </c>
      <c r="I28" s="14" t="e">
        <f t="shared" si="1"/>
        <v>#DIV/0!</v>
      </c>
      <c r="J28" s="2">
        <f t="shared" si="2"/>
        <v>0</v>
      </c>
      <c r="K28" s="14" t="e">
        <f t="shared" si="3"/>
        <v>#DIV/0!</v>
      </c>
      <c r="L28" s="7" t="e">
        <f t="shared" si="4"/>
        <v>#DIV/0!</v>
      </c>
      <c r="M28" s="2" t="e">
        <f t="shared" si="5"/>
        <v>#DIV/0!</v>
      </c>
    </row>
    <row r="29" spans="1:13">
      <c r="A29" s="13"/>
      <c r="H29" s="2">
        <f t="shared" si="0"/>
        <v>0</v>
      </c>
      <c r="I29" s="14" t="e">
        <f t="shared" si="1"/>
        <v>#DIV/0!</v>
      </c>
      <c r="J29" s="2">
        <f t="shared" si="2"/>
        <v>0</v>
      </c>
      <c r="K29" s="14" t="e">
        <f t="shared" si="3"/>
        <v>#DIV/0!</v>
      </c>
      <c r="L29" s="7" t="e">
        <f t="shared" si="4"/>
        <v>#DIV/0!</v>
      </c>
      <c r="M29" s="2" t="e">
        <f t="shared" si="5"/>
        <v>#DIV/0!</v>
      </c>
    </row>
    <row r="30" spans="1:13">
      <c r="A30" s="13"/>
      <c r="H30" s="2">
        <f t="shared" si="0"/>
        <v>0</v>
      </c>
      <c r="I30" s="14" t="e">
        <f t="shared" si="1"/>
        <v>#DIV/0!</v>
      </c>
      <c r="J30" s="2">
        <f t="shared" si="2"/>
        <v>0</v>
      </c>
      <c r="K30" s="14" t="e">
        <f t="shared" si="3"/>
        <v>#DIV/0!</v>
      </c>
      <c r="L30" s="7" t="e">
        <f t="shared" si="4"/>
        <v>#DIV/0!</v>
      </c>
      <c r="M30" s="2" t="e">
        <f t="shared" si="5"/>
        <v>#DIV/0!</v>
      </c>
    </row>
    <row r="31" spans="1:13">
      <c r="A31" s="13"/>
      <c r="H31" s="2">
        <f t="shared" si="0"/>
        <v>0</v>
      </c>
      <c r="I31" s="14" t="e">
        <f t="shared" si="1"/>
        <v>#DIV/0!</v>
      </c>
      <c r="J31" s="2">
        <f t="shared" si="2"/>
        <v>0</v>
      </c>
      <c r="K31" s="14" t="e">
        <f t="shared" si="3"/>
        <v>#DIV/0!</v>
      </c>
      <c r="L31" s="7" t="e">
        <f t="shared" si="4"/>
        <v>#DIV/0!</v>
      </c>
      <c r="M31" s="2" t="e">
        <f t="shared" si="5"/>
        <v>#DIV/0!</v>
      </c>
    </row>
    <row r="32" spans="1:13">
      <c r="A32" s="13"/>
      <c r="H32" s="2">
        <f t="shared" si="0"/>
        <v>0</v>
      </c>
      <c r="I32" s="14" t="e">
        <f t="shared" si="1"/>
        <v>#DIV/0!</v>
      </c>
      <c r="J32" s="2">
        <f t="shared" si="2"/>
        <v>0</v>
      </c>
      <c r="K32" s="14" t="e">
        <f t="shared" si="3"/>
        <v>#DIV/0!</v>
      </c>
      <c r="L32" s="7" t="e">
        <f t="shared" si="4"/>
        <v>#DIV/0!</v>
      </c>
      <c r="M32" s="2" t="e">
        <f t="shared" si="5"/>
        <v>#DIV/0!</v>
      </c>
    </row>
    <row r="33" spans="1:13">
      <c r="A33" s="13"/>
      <c r="H33" s="2">
        <f t="shared" si="0"/>
        <v>0</v>
      </c>
      <c r="I33" s="14" t="e">
        <f t="shared" si="1"/>
        <v>#DIV/0!</v>
      </c>
      <c r="J33" s="2">
        <f t="shared" si="2"/>
        <v>0</v>
      </c>
      <c r="K33" s="14" t="e">
        <f t="shared" si="3"/>
        <v>#DIV/0!</v>
      </c>
      <c r="L33" s="7" t="e">
        <f t="shared" si="4"/>
        <v>#DIV/0!</v>
      </c>
      <c r="M33" s="2" t="e">
        <f t="shared" si="5"/>
        <v>#DIV/0!</v>
      </c>
    </row>
    <row r="34" spans="1:13">
      <c r="A34" s="13"/>
      <c r="H34" s="2">
        <f t="shared" si="0"/>
        <v>0</v>
      </c>
      <c r="I34" s="14" t="e">
        <f t="shared" si="1"/>
        <v>#DIV/0!</v>
      </c>
      <c r="J34" s="2">
        <f t="shared" si="2"/>
        <v>0</v>
      </c>
      <c r="K34" s="14" t="e">
        <f t="shared" si="3"/>
        <v>#DIV/0!</v>
      </c>
      <c r="L34" s="7" t="e">
        <f t="shared" si="4"/>
        <v>#DIV/0!</v>
      </c>
      <c r="M34" s="2" t="e">
        <f t="shared" si="5"/>
        <v>#DIV/0!</v>
      </c>
    </row>
    <row r="35" spans="1:13">
      <c r="A35" s="13"/>
      <c r="H35" s="2">
        <f t="shared" si="0"/>
        <v>0</v>
      </c>
      <c r="I35" s="14" t="e">
        <f t="shared" si="1"/>
        <v>#DIV/0!</v>
      </c>
      <c r="J35" s="2">
        <f t="shared" si="2"/>
        <v>0</v>
      </c>
      <c r="K35" s="14" t="e">
        <f t="shared" si="3"/>
        <v>#DIV/0!</v>
      </c>
      <c r="L35" s="7" t="e">
        <f t="shared" si="4"/>
        <v>#DIV/0!</v>
      </c>
      <c r="M35" s="2" t="e">
        <f t="shared" si="5"/>
        <v>#DIV/0!</v>
      </c>
    </row>
    <row r="36" spans="1:13">
      <c r="A36" s="13"/>
      <c r="H36" s="2">
        <f t="shared" si="0"/>
        <v>0</v>
      </c>
      <c r="I36" s="14" t="e">
        <f t="shared" si="1"/>
        <v>#DIV/0!</v>
      </c>
      <c r="J36" s="2">
        <f t="shared" si="2"/>
        <v>0</v>
      </c>
      <c r="K36" s="14" t="e">
        <f t="shared" si="3"/>
        <v>#DIV/0!</v>
      </c>
      <c r="L36" s="7" t="e">
        <f t="shared" si="4"/>
        <v>#DIV/0!</v>
      </c>
      <c r="M36" s="2" t="e">
        <f t="shared" si="5"/>
        <v>#DIV/0!</v>
      </c>
    </row>
    <row r="37" spans="1:13">
      <c r="A37" s="13"/>
      <c r="H37" s="2">
        <f t="shared" si="0"/>
        <v>0</v>
      </c>
      <c r="I37" s="14" t="e">
        <f t="shared" si="1"/>
        <v>#DIV/0!</v>
      </c>
      <c r="J37" s="2">
        <f t="shared" si="2"/>
        <v>0</v>
      </c>
      <c r="K37" s="14" t="e">
        <f t="shared" si="3"/>
        <v>#DIV/0!</v>
      </c>
      <c r="L37" s="7" t="e">
        <f t="shared" si="4"/>
        <v>#DIV/0!</v>
      </c>
      <c r="M37" s="2" t="e">
        <f t="shared" si="5"/>
        <v>#DIV/0!</v>
      </c>
    </row>
    <row r="38" spans="1:13">
      <c r="A38" s="13"/>
      <c r="H38" s="2">
        <f t="shared" si="0"/>
        <v>0</v>
      </c>
      <c r="I38" s="14" t="e">
        <f t="shared" si="1"/>
        <v>#DIV/0!</v>
      </c>
      <c r="J38" s="2">
        <f t="shared" si="2"/>
        <v>0</v>
      </c>
      <c r="K38" s="14" t="e">
        <f t="shared" si="3"/>
        <v>#DIV/0!</v>
      </c>
      <c r="L38" s="7" t="e">
        <f t="shared" si="4"/>
        <v>#DIV/0!</v>
      </c>
      <c r="M38" s="2" t="e">
        <f t="shared" si="5"/>
        <v>#DIV/0!</v>
      </c>
    </row>
    <row r="39" spans="1:13">
      <c r="A39" s="13"/>
      <c r="H39" s="2">
        <f t="shared" si="0"/>
        <v>0</v>
      </c>
      <c r="I39" s="14" t="e">
        <f t="shared" si="1"/>
        <v>#DIV/0!</v>
      </c>
      <c r="J39" s="2">
        <f t="shared" si="2"/>
        <v>0</v>
      </c>
      <c r="K39" s="14" t="e">
        <f t="shared" si="3"/>
        <v>#DIV/0!</v>
      </c>
      <c r="L39" s="7" t="e">
        <f t="shared" si="4"/>
        <v>#DIV/0!</v>
      </c>
      <c r="M39" s="2" t="e">
        <f t="shared" si="5"/>
        <v>#DIV/0!</v>
      </c>
    </row>
    <row r="40" spans="1:13">
      <c r="A40" s="13"/>
      <c r="H40" s="2">
        <f t="shared" si="0"/>
        <v>0</v>
      </c>
      <c r="I40" s="14" t="e">
        <f t="shared" si="1"/>
        <v>#DIV/0!</v>
      </c>
      <c r="J40" s="2">
        <f t="shared" si="2"/>
        <v>0</v>
      </c>
      <c r="K40" s="14" t="e">
        <f t="shared" si="3"/>
        <v>#DIV/0!</v>
      </c>
      <c r="L40" s="7" t="e">
        <f t="shared" si="4"/>
        <v>#DIV/0!</v>
      </c>
      <c r="M40" s="2" t="e">
        <f t="shared" si="5"/>
        <v>#DIV/0!</v>
      </c>
    </row>
    <row r="41" spans="1:13">
      <c r="A41" s="13"/>
      <c r="H41" s="2">
        <f t="shared" si="0"/>
        <v>0</v>
      </c>
      <c r="I41" s="14" t="e">
        <f t="shared" si="1"/>
        <v>#DIV/0!</v>
      </c>
      <c r="J41" s="2">
        <f t="shared" si="2"/>
        <v>0</v>
      </c>
      <c r="K41" s="14" t="e">
        <f t="shared" si="3"/>
        <v>#DIV/0!</v>
      </c>
      <c r="L41" s="7" t="e">
        <f t="shared" si="4"/>
        <v>#DIV/0!</v>
      </c>
      <c r="M41" s="2" t="e">
        <f t="shared" si="5"/>
        <v>#DIV/0!</v>
      </c>
    </row>
    <row r="42" spans="1:13">
      <c r="A42" s="13"/>
      <c r="H42" s="2">
        <f t="shared" si="0"/>
        <v>0</v>
      </c>
      <c r="I42" s="14" t="e">
        <f t="shared" si="1"/>
        <v>#DIV/0!</v>
      </c>
      <c r="J42" s="2">
        <f t="shared" si="2"/>
        <v>0</v>
      </c>
      <c r="K42" s="14" t="e">
        <f t="shared" si="3"/>
        <v>#DIV/0!</v>
      </c>
      <c r="L42" s="7" t="e">
        <f t="shared" si="4"/>
        <v>#DIV/0!</v>
      </c>
      <c r="M42" s="2" t="e">
        <f t="shared" si="5"/>
        <v>#DIV/0!</v>
      </c>
    </row>
    <row r="43" spans="1:13">
      <c r="A43" s="13"/>
      <c r="H43" s="2">
        <f t="shared" si="0"/>
        <v>0</v>
      </c>
      <c r="I43" s="14" t="e">
        <f t="shared" si="1"/>
        <v>#DIV/0!</v>
      </c>
      <c r="J43" s="2">
        <f t="shared" si="2"/>
        <v>0</v>
      </c>
      <c r="K43" s="14" t="e">
        <f t="shared" si="3"/>
        <v>#DIV/0!</v>
      </c>
      <c r="L43" s="7" t="e">
        <f t="shared" si="4"/>
        <v>#DIV/0!</v>
      </c>
      <c r="M43" s="2" t="e">
        <f t="shared" si="5"/>
        <v>#DIV/0!</v>
      </c>
    </row>
    <row r="44" spans="1:13">
      <c r="A44" s="13"/>
      <c r="H44" s="2">
        <f t="shared" si="0"/>
        <v>0</v>
      </c>
      <c r="I44" s="14" t="e">
        <f t="shared" si="1"/>
        <v>#DIV/0!</v>
      </c>
      <c r="J44" s="2">
        <f t="shared" si="2"/>
        <v>0</v>
      </c>
      <c r="K44" s="14" t="e">
        <f t="shared" si="3"/>
        <v>#DIV/0!</v>
      </c>
      <c r="L44" s="7" t="e">
        <f t="shared" si="4"/>
        <v>#DIV/0!</v>
      </c>
      <c r="M44" s="2" t="e">
        <f t="shared" si="5"/>
        <v>#DIV/0!</v>
      </c>
    </row>
    <row r="45" spans="1:13">
      <c r="A45" s="13"/>
      <c r="H45" s="2">
        <f t="shared" si="0"/>
        <v>0</v>
      </c>
      <c r="I45" s="14" t="e">
        <f t="shared" si="1"/>
        <v>#DIV/0!</v>
      </c>
      <c r="J45" s="2">
        <f t="shared" si="2"/>
        <v>0</v>
      </c>
      <c r="K45" s="14" t="e">
        <f t="shared" si="3"/>
        <v>#DIV/0!</v>
      </c>
      <c r="L45" s="7" t="e">
        <f t="shared" si="4"/>
        <v>#DIV/0!</v>
      </c>
      <c r="M45" s="2" t="e">
        <f t="shared" si="5"/>
        <v>#DIV/0!</v>
      </c>
    </row>
    <row r="46" spans="1:13">
      <c r="A46" s="13"/>
      <c r="H46" s="2">
        <f t="shared" si="0"/>
        <v>0</v>
      </c>
      <c r="I46" s="14" t="e">
        <f t="shared" si="1"/>
        <v>#DIV/0!</v>
      </c>
      <c r="J46" s="2">
        <f t="shared" si="2"/>
        <v>0</v>
      </c>
      <c r="K46" s="14" t="e">
        <f t="shared" si="3"/>
        <v>#DIV/0!</v>
      </c>
      <c r="L46" s="7" t="e">
        <f t="shared" si="4"/>
        <v>#DIV/0!</v>
      </c>
      <c r="M46" s="2" t="e">
        <f t="shared" si="5"/>
        <v>#DIV/0!</v>
      </c>
    </row>
    <row r="47" spans="1:13">
      <c r="A47" s="13"/>
      <c r="H47" s="2">
        <f t="shared" si="0"/>
        <v>0</v>
      </c>
      <c r="I47" s="14" t="e">
        <f t="shared" si="1"/>
        <v>#DIV/0!</v>
      </c>
      <c r="J47" s="2">
        <f t="shared" si="2"/>
        <v>0</v>
      </c>
      <c r="K47" s="14" t="e">
        <f t="shared" si="3"/>
        <v>#DIV/0!</v>
      </c>
      <c r="L47" s="7" t="e">
        <f t="shared" si="4"/>
        <v>#DIV/0!</v>
      </c>
      <c r="M47" s="2" t="e">
        <f t="shared" si="5"/>
        <v>#DIV/0!</v>
      </c>
    </row>
    <row r="48" spans="1:13">
      <c r="A48" s="13"/>
      <c r="H48" s="2">
        <f t="shared" si="0"/>
        <v>0</v>
      </c>
      <c r="I48" s="14" t="e">
        <f t="shared" si="1"/>
        <v>#DIV/0!</v>
      </c>
      <c r="J48" s="2">
        <f t="shared" si="2"/>
        <v>0</v>
      </c>
      <c r="K48" s="14" t="e">
        <f t="shared" si="3"/>
        <v>#DIV/0!</v>
      </c>
      <c r="L48" s="7" t="e">
        <f t="shared" si="4"/>
        <v>#DIV/0!</v>
      </c>
      <c r="M48" s="2" t="e">
        <f t="shared" si="5"/>
        <v>#DIV/0!</v>
      </c>
    </row>
    <row r="49" spans="1:13">
      <c r="A49" s="13"/>
      <c r="H49" s="2">
        <f t="shared" si="0"/>
        <v>0</v>
      </c>
      <c r="I49" s="14" t="e">
        <f t="shared" si="1"/>
        <v>#DIV/0!</v>
      </c>
      <c r="J49" s="2">
        <f t="shared" si="2"/>
        <v>0</v>
      </c>
      <c r="K49" s="14" t="e">
        <f t="shared" si="3"/>
        <v>#DIV/0!</v>
      </c>
      <c r="L49" s="7" t="e">
        <f t="shared" si="4"/>
        <v>#DIV/0!</v>
      </c>
      <c r="M49" s="2" t="e">
        <f t="shared" si="5"/>
        <v>#DIV/0!</v>
      </c>
    </row>
    <row r="50" spans="1:13">
      <c r="A50" s="13"/>
      <c r="H50" s="2">
        <f t="shared" si="0"/>
        <v>0</v>
      </c>
      <c r="I50" s="14" t="e">
        <f t="shared" si="1"/>
        <v>#DIV/0!</v>
      </c>
      <c r="J50" s="2">
        <f t="shared" si="2"/>
        <v>0</v>
      </c>
      <c r="K50" s="14" t="e">
        <f t="shared" si="3"/>
        <v>#DIV/0!</v>
      </c>
      <c r="L50" s="7" t="e">
        <f t="shared" si="4"/>
        <v>#DIV/0!</v>
      </c>
      <c r="M50" s="2" t="e">
        <f t="shared" si="5"/>
        <v>#DIV/0!</v>
      </c>
    </row>
    <row r="51" spans="1:13">
      <c r="A51" s="13"/>
      <c r="H51" s="2">
        <f t="shared" si="0"/>
        <v>0</v>
      </c>
      <c r="I51" s="14" t="e">
        <f t="shared" si="1"/>
        <v>#DIV/0!</v>
      </c>
      <c r="J51" s="2">
        <f t="shared" si="2"/>
        <v>0</v>
      </c>
      <c r="K51" s="14" t="e">
        <f t="shared" si="3"/>
        <v>#DIV/0!</v>
      </c>
      <c r="L51" s="7" t="e">
        <f t="shared" si="4"/>
        <v>#DIV/0!</v>
      </c>
      <c r="M51" s="2" t="e">
        <f t="shared" si="5"/>
        <v>#DIV/0!</v>
      </c>
    </row>
    <row r="52" spans="1:13">
      <c r="A52" s="13"/>
      <c r="H52" s="2">
        <f t="shared" si="0"/>
        <v>0</v>
      </c>
      <c r="I52" s="14" t="e">
        <f t="shared" si="1"/>
        <v>#DIV/0!</v>
      </c>
      <c r="J52" s="2">
        <f t="shared" si="2"/>
        <v>0</v>
      </c>
      <c r="K52" s="14" t="e">
        <f t="shared" si="3"/>
        <v>#DIV/0!</v>
      </c>
      <c r="L52" s="7" t="e">
        <f t="shared" si="4"/>
        <v>#DIV/0!</v>
      </c>
      <c r="M52" s="2" t="e">
        <f t="shared" si="5"/>
        <v>#DIV/0!</v>
      </c>
    </row>
    <row r="53" spans="1:13">
      <c r="A53" s="13"/>
      <c r="H53" s="2">
        <f t="shared" si="0"/>
        <v>0</v>
      </c>
      <c r="I53" s="14" t="e">
        <f t="shared" si="1"/>
        <v>#DIV/0!</v>
      </c>
      <c r="J53" s="2">
        <f t="shared" si="2"/>
        <v>0</v>
      </c>
      <c r="K53" s="14" t="e">
        <f t="shared" si="3"/>
        <v>#DIV/0!</v>
      </c>
      <c r="L53" s="7" t="e">
        <f t="shared" si="4"/>
        <v>#DIV/0!</v>
      </c>
      <c r="M53" s="2" t="e">
        <f t="shared" si="5"/>
        <v>#DIV/0!</v>
      </c>
    </row>
    <row r="54" spans="1:13">
      <c r="A54" s="13"/>
      <c r="H54" s="2">
        <f t="shared" si="0"/>
        <v>0</v>
      </c>
      <c r="I54" s="14" t="e">
        <f t="shared" si="1"/>
        <v>#DIV/0!</v>
      </c>
      <c r="J54" s="2">
        <f t="shared" si="2"/>
        <v>0</v>
      </c>
      <c r="K54" s="14" t="e">
        <f t="shared" si="3"/>
        <v>#DIV/0!</v>
      </c>
      <c r="L54" s="7" t="e">
        <f t="shared" si="4"/>
        <v>#DIV/0!</v>
      </c>
      <c r="M54" s="2" t="e">
        <f t="shared" si="5"/>
        <v>#DIV/0!</v>
      </c>
    </row>
    <row r="55" spans="1:13">
      <c r="A55" s="13"/>
      <c r="H55" s="2">
        <f t="shared" si="0"/>
        <v>0</v>
      </c>
      <c r="I55" s="14" t="e">
        <f t="shared" si="1"/>
        <v>#DIV/0!</v>
      </c>
      <c r="J55" s="2">
        <f t="shared" si="2"/>
        <v>0</v>
      </c>
      <c r="K55" s="14" t="e">
        <f t="shared" si="3"/>
        <v>#DIV/0!</v>
      </c>
      <c r="L55" s="7" t="e">
        <f t="shared" si="4"/>
        <v>#DIV/0!</v>
      </c>
      <c r="M55" s="2" t="e">
        <f t="shared" si="5"/>
        <v>#DIV/0!</v>
      </c>
    </row>
    <row r="56" spans="1:13">
      <c r="A56" s="13"/>
      <c r="H56" s="2">
        <f t="shared" si="0"/>
        <v>0</v>
      </c>
      <c r="I56" s="14" t="e">
        <f t="shared" si="1"/>
        <v>#DIV/0!</v>
      </c>
      <c r="J56" s="2">
        <f t="shared" si="2"/>
        <v>0</v>
      </c>
      <c r="K56" s="14" t="e">
        <f t="shared" si="3"/>
        <v>#DIV/0!</v>
      </c>
      <c r="L56" s="7" t="e">
        <f t="shared" si="4"/>
        <v>#DIV/0!</v>
      </c>
      <c r="M56" s="2" t="e">
        <f t="shared" si="5"/>
        <v>#DIV/0!</v>
      </c>
    </row>
    <row r="57" spans="1:13">
      <c r="A57" s="13"/>
      <c r="H57" s="2">
        <f t="shared" si="0"/>
        <v>0</v>
      </c>
      <c r="I57" s="14" t="e">
        <f t="shared" si="1"/>
        <v>#DIV/0!</v>
      </c>
      <c r="J57" s="2">
        <f t="shared" si="2"/>
        <v>0</v>
      </c>
      <c r="K57" s="14" t="e">
        <f t="shared" si="3"/>
        <v>#DIV/0!</v>
      </c>
      <c r="L57" s="7" t="e">
        <f t="shared" si="4"/>
        <v>#DIV/0!</v>
      </c>
      <c r="M57" s="2" t="e">
        <f t="shared" si="5"/>
        <v>#DIV/0!</v>
      </c>
    </row>
    <row r="58" spans="1:13">
      <c r="A58" s="13"/>
      <c r="H58" s="2">
        <f t="shared" si="0"/>
        <v>0</v>
      </c>
      <c r="I58" s="14" t="e">
        <f t="shared" si="1"/>
        <v>#DIV/0!</v>
      </c>
      <c r="J58" s="2">
        <f t="shared" si="2"/>
        <v>0</v>
      </c>
      <c r="K58" s="14" t="e">
        <f t="shared" si="3"/>
        <v>#DIV/0!</v>
      </c>
      <c r="L58" s="7" t="e">
        <f t="shared" si="4"/>
        <v>#DIV/0!</v>
      </c>
      <c r="M58" s="2" t="e">
        <f t="shared" si="5"/>
        <v>#DIV/0!</v>
      </c>
    </row>
    <row r="59" spans="1:13">
      <c r="A59" s="13"/>
      <c r="H59" s="2">
        <f t="shared" si="0"/>
        <v>0</v>
      </c>
      <c r="I59" s="14" t="e">
        <f t="shared" si="1"/>
        <v>#DIV/0!</v>
      </c>
      <c r="J59" s="2">
        <f t="shared" si="2"/>
        <v>0</v>
      </c>
      <c r="K59" s="14" t="e">
        <f t="shared" si="3"/>
        <v>#DIV/0!</v>
      </c>
      <c r="L59" s="7" t="e">
        <f t="shared" si="4"/>
        <v>#DIV/0!</v>
      </c>
      <c r="M59" s="2" t="e">
        <f t="shared" si="5"/>
        <v>#DIV/0!</v>
      </c>
    </row>
    <row r="60" spans="1:13">
      <c r="A60" s="13"/>
      <c r="H60" s="2">
        <f t="shared" si="0"/>
        <v>0</v>
      </c>
      <c r="I60" s="14" t="e">
        <f t="shared" si="1"/>
        <v>#DIV/0!</v>
      </c>
      <c r="J60" s="2">
        <f t="shared" si="2"/>
        <v>0</v>
      </c>
      <c r="K60" s="14" t="e">
        <f t="shared" si="3"/>
        <v>#DIV/0!</v>
      </c>
      <c r="L60" s="7" t="e">
        <f t="shared" si="4"/>
        <v>#DIV/0!</v>
      </c>
      <c r="M60" s="2" t="e">
        <f t="shared" si="5"/>
        <v>#DIV/0!</v>
      </c>
    </row>
    <row r="61" spans="1:13">
      <c r="A61" s="13"/>
      <c r="H61" s="2">
        <f t="shared" si="0"/>
        <v>0</v>
      </c>
      <c r="I61" s="14" t="e">
        <f t="shared" si="1"/>
        <v>#DIV/0!</v>
      </c>
      <c r="J61" s="2">
        <f t="shared" si="2"/>
        <v>0</v>
      </c>
      <c r="K61" s="14" t="e">
        <f t="shared" si="3"/>
        <v>#DIV/0!</v>
      </c>
      <c r="L61" s="7" t="e">
        <f t="shared" si="4"/>
        <v>#DIV/0!</v>
      </c>
      <c r="M61" s="2" t="e">
        <f t="shared" si="5"/>
        <v>#DIV/0!</v>
      </c>
    </row>
    <row r="62" spans="1:13">
      <c r="A62" s="13"/>
      <c r="H62" s="2">
        <f t="shared" si="0"/>
        <v>0</v>
      </c>
      <c r="I62" s="14" t="e">
        <f t="shared" si="1"/>
        <v>#DIV/0!</v>
      </c>
      <c r="J62" s="2">
        <f t="shared" si="2"/>
        <v>0</v>
      </c>
      <c r="K62" s="14" t="e">
        <f t="shared" si="3"/>
        <v>#DIV/0!</v>
      </c>
      <c r="L62" s="7" t="e">
        <f t="shared" si="4"/>
        <v>#DIV/0!</v>
      </c>
      <c r="M62" s="2" t="e">
        <f t="shared" si="5"/>
        <v>#DIV/0!</v>
      </c>
    </row>
    <row r="63" spans="1:13">
      <c r="A63" s="13"/>
      <c r="H63" s="2">
        <f t="shared" si="0"/>
        <v>0</v>
      </c>
      <c r="I63" s="14" t="e">
        <f t="shared" si="1"/>
        <v>#DIV/0!</v>
      </c>
      <c r="J63" s="2">
        <f t="shared" si="2"/>
        <v>0</v>
      </c>
      <c r="K63" s="14" t="e">
        <f t="shared" si="3"/>
        <v>#DIV/0!</v>
      </c>
      <c r="L63" s="7" t="e">
        <f t="shared" si="4"/>
        <v>#DIV/0!</v>
      </c>
      <c r="M63" s="2" t="e">
        <f t="shared" si="5"/>
        <v>#DIV/0!</v>
      </c>
    </row>
    <row r="64" spans="1:13">
      <c r="A64" s="13"/>
      <c r="H64" s="2">
        <f t="shared" si="0"/>
        <v>0</v>
      </c>
      <c r="I64" s="14" t="e">
        <f t="shared" si="1"/>
        <v>#DIV/0!</v>
      </c>
      <c r="J64" s="2">
        <f t="shared" si="2"/>
        <v>0</v>
      </c>
      <c r="K64" s="14" t="e">
        <f t="shared" si="3"/>
        <v>#DIV/0!</v>
      </c>
      <c r="L64" s="7" t="e">
        <f t="shared" si="4"/>
        <v>#DIV/0!</v>
      </c>
      <c r="M64" s="2" t="e">
        <f t="shared" si="5"/>
        <v>#DIV/0!</v>
      </c>
    </row>
    <row r="65" spans="1:13">
      <c r="A65" s="13"/>
      <c r="H65" s="2">
        <f t="shared" si="0"/>
        <v>0</v>
      </c>
      <c r="I65" s="14" t="e">
        <f t="shared" si="1"/>
        <v>#DIV/0!</v>
      </c>
      <c r="J65" s="2">
        <f t="shared" si="2"/>
        <v>0</v>
      </c>
      <c r="K65" s="14" t="e">
        <f t="shared" si="3"/>
        <v>#DIV/0!</v>
      </c>
      <c r="L65" s="7" t="e">
        <f t="shared" si="4"/>
        <v>#DIV/0!</v>
      </c>
      <c r="M65" s="2" t="e">
        <f t="shared" si="5"/>
        <v>#DIV/0!</v>
      </c>
    </row>
    <row r="66" spans="1:13">
      <c r="A66" s="13"/>
      <c r="H66" s="2">
        <f t="shared" si="0"/>
        <v>0</v>
      </c>
      <c r="I66" s="14" t="e">
        <f t="shared" si="1"/>
        <v>#DIV/0!</v>
      </c>
      <c r="J66" s="2">
        <f t="shared" si="2"/>
        <v>0</v>
      </c>
      <c r="K66" s="14" t="e">
        <f t="shared" si="3"/>
        <v>#DIV/0!</v>
      </c>
      <c r="L66" s="7" t="e">
        <f t="shared" si="4"/>
        <v>#DIV/0!</v>
      </c>
      <c r="M66" s="2" t="e">
        <f t="shared" si="5"/>
        <v>#DIV/0!</v>
      </c>
    </row>
    <row r="67" spans="1:13">
      <c r="A67" s="13"/>
      <c r="H67" s="2">
        <f t="shared" si="0"/>
        <v>0</v>
      </c>
      <c r="I67" s="14" t="e">
        <f t="shared" si="1"/>
        <v>#DIV/0!</v>
      </c>
      <c r="J67" s="2">
        <f t="shared" si="2"/>
        <v>0</v>
      </c>
      <c r="K67" s="14" t="e">
        <f t="shared" si="3"/>
        <v>#DIV/0!</v>
      </c>
      <c r="L67" s="7" t="e">
        <f t="shared" si="4"/>
        <v>#DIV/0!</v>
      </c>
      <c r="M67" s="2" t="e">
        <f t="shared" si="5"/>
        <v>#DIV/0!</v>
      </c>
    </row>
    <row r="68" spans="1:13">
      <c r="A68" s="13"/>
      <c r="H68" s="2">
        <f t="shared" si="0"/>
        <v>0</v>
      </c>
      <c r="I68" s="14" t="e">
        <f t="shared" si="1"/>
        <v>#DIV/0!</v>
      </c>
      <c r="J68" s="2">
        <f t="shared" si="2"/>
        <v>0</v>
      </c>
      <c r="K68" s="14" t="e">
        <f t="shared" si="3"/>
        <v>#DIV/0!</v>
      </c>
      <c r="L68" s="7" t="e">
        <f t="shared" si="4"/>
        <v>#DIV/0!</v>
      </c>
      <c r="M68" s="2" t="e">
        <f t="shared" si="5"/>
        <v>#DIV/0!</v>
      </c>
    </row>
    <row r="69" spans="1:13">
      <c r="A69" s="13"/>
      <c r="H69" s="2">
        <f t="shared" si="0"/>
        <v>0</v>
      </c>
      <c r="I69" s="14" t="e">
        <f t="shared" si="1"/>
        <v>#DIV/0!</v>
      </c>
      <c r="J69" s="2">
        <f t="shared" si="2"/>
        <v>0</v>
      </c>
      <c r="K69" s="14" t="e">
        <f t="shared" si="3"/>
        <v>#DIV/0!</v>
      </c>
      <c r="L69" s="7" t="e">
        <f t="shared" si="4"/>
        <v>#DIV/0!</v>
      </c>
      <c r="M69" s="2" t="e">
        <f t="shared" si="5"/>
        <v>#DIV/0!</v>
      </c>
    </row>
    <row r="70" spans="1:13">
      <c r="A70" s="13"/>
      <c r="H70" s="2">
        <f t="shared" ref="H70:H133" si="6">F70-F69</f>
        <v>0</v>
      </c>
      <c r="I70" s="14" t="e">
        <f t="shared" ref="I70:I133" si="7">H70/F69</f>
        <v>#DIV/0!</v>
      </c>
      <c r="J70" s="2">
        <f t="shared" ref="J70:J133" si="8">G70-G69</f>
        <v>0</v>
      </c>
      <c r="K70" s="14" t="e">
        <f t="shared" ref="K70:K133" si="9">J70/G69</f>
        <v>#DIV/0!</v>
      </c>
      <c r="L70" s="7" t="e">
        <f t="shared" si="4"/>
        <v>#DIV/0!</v>
      </c>
      <c r="M70" s="2" t="e">
        <f t="shared" si="5"/>
        <v>#DIV/0!</v>
      </c>
    </row>
    <row r="71" spans="1:13">
      <c r="A71" s="13"/>
      <c r="H71" s="2">
        <f t="shared" si="6"/>
        <v>0</v>
      </c>
      <c r="I71" s="14" t="e">
        <f t="shared" si="7"/>
        <v>#DIV/0!</v>
      </c>
      <c r="J71" s="2">
        <f t="shared" si="8"/>
        <v>0</v>
      </c>
      <c r="K71" s="14" t="e">
        <f t="shared" si="9"/>
        <v>#DIV/0!</v>
      </c>
      <c r="L71" s="7" t="e">
        <f t="shared" ref="L71:L134" si="10">IF(AND(E71&gt;$T$4,I71&gt;$N$1),"BEARISH",IF(AND(E71&lt;$T$3,I71&gt;$N$1),"BULLISH",""))</f>
        <v>#DIV/0!</v>
      </c>
      <c r="M71" s="2" t="e">
        <f t="shared" ref="M71:M134" si="11">IF(AND(E71&gt;$T$3,E70&lt;$T$44,I71&gt;$N$2),"BEARISH REVERESAL",IF(AND(E71&lt;$T$4,E70&gt;$T$3,I71&gt;$N$2),"BULLISH REVERESAL",""))</f>
        <v>#DIV/0!</v>
      </c>
    </row>
    <row r="72" spans="1:13">
      <c r="A72" s="13"/>
      <c r="H72" s="2">
        <f t="shared" si="6"/>
        <v>0</v>
      </c>
      <c r="I72" s="14" t="e">
        <f t="shared" si="7"/>
        <v>#DIV/0!</v>
      </c>
      <c r="J72" s="2">
        <f t="shared" si="8"/>
        <v>0</v>
      </c>
      <c r="K72" s="14" t="e">
        <f t="shared" si="9"/>
        <v>#DIV/0!</v>
      </c>
      <c r="L72" s="7" t="e">
        <f t="shared" si="10"/>
        <v>#DIV/0!</v>
      </c>
      <c r="M72" s="2" t="e">
        <f t="shared" si="11"/>
        <v>#DIV/0!</v>
      </c>
    </row>
    <row r="73" spans="1:13">
      <c r="A73" s="13"/>
      <c r="H73" s="2">
        <f t="shared" si="6"/>
        <v>0</v>
      </c>
      <c r="I73" s="14" t="e">
        <f t="shared" si="7"/>
        <v>#DIV/0!</v>
      </c>
      <c r="J73" s="2">
        <f t="shared" si="8"/>
        <v>0</v>
      </c>
      <c r="K73" s="14" t="e">
        <f t="shared" si="9"/>
        <v>#DIV/0!</v>
      </c>
      <c r="L73" s="7" t="e">
        <f t="shared" si="10"/>
        <v>#DIV/0!</v>
      </c>
      <c r="M73" s="2" t="e">
        <f t="shared" si="11"/>
        <v>#DIV/0!</v>
      </c>
    </row>
    <row r="74" spans="1:13">
      <c r="A74" s="13"/>
      <c r="H74" s="2">
        <f t="shared" si="6"/>
        <v>0</v>
      </c>
      <c r="I74" s="14" t="e">
        <f t="shared" si="7"/>
        <v>#DIV/0!</v>
      </c>
      <c r="J74" s="2">
        <f t="shared" si="8"/>
        <v>0</v>
      </c>
      <c r="K74" s="14" t="e">
        <f t="shared" si="9"/>
        <v>#DIV/0!</v>
      </c>
      <c r="L74" s="7" t="e">
        <f t="shared" si="10"/>
        <v>#DIV/0!</v>
      </c>
      <c r="M74" s="2" t="e">
        <f t="shared" si="11"/>
        <v>#DIV/0!</v>
      </c>
    </row>
    <row r="75" spans="1:13">
      <c r="A75" s="13"/>
      <c r="H75" s="2">
        <f t="shared" si="6"/>
        <v>0</v>
      </c>
      <c r="I75" s="14" t="e">
        <f t="shared" si="7"/>
        <v>#DIV/0!</v>
      </c>
      <c r="J75" s="2">
        <f t="shared" si="8"/>
        <v>0</v>
      </c>
      <c r="K75" s="14" t="e">
        <f t="shared" si="9"/>
        <v>#DIV/0!</v>
      </c>
      <c r="L75" s="7" t="e">
        <f t="shared" si="10"/>
        <v>#DIV/0!</v>
      </c>
      <c r="M75" s="2" t="e">
        <f t="shared" si="11"/>
        <v>#DIV/0!</v>
      </c>
    </row>
    <row r="76" spans="1:13">
      <c r="A76" s="13"/>
      <c r="H76" s="2">
        <f t="shared" si="6"/>
        <v>0</v>
      </c>
      <c r="I76" s="14" t="e">
        <f t="shared" si="7"/>
        <v>#DIV/0!</v>
      </c>
      <c r="J76" s="2">
        <f t="shared" si="8"/>
        <v>0</v>
      </c>
      <c r="K76" s="14" t="e">
        <f t="shared" si="9"/>
        <v>#DIV/0!</v>
      </c>
      <c r="L76" s="7" t="e">
        <f t="shared" si="10"/>
        <v>#DIV/0!</v>
      </c>
      <c r="M76" s="2" t="e">
        <f t="shared" si="11"/>
        <v>#DIV/0!</v>
      </c>
    </row>
    <row r="77" spans="1:13">
      <c r="A77" s="13"/>
      <c r="H77" s="2">
        <f t="shared" si="6"/>
        <v>0</v>
      </c>
      <c r="I77" s="14" t="e">
        <f t="shared" si="7"/>
        <v>#DIV/0!</v>
      </c>
      <c r="J77" s="2">
        <f t="shared" si="8"/>
        <v>0</v>
      </c>
      <c r="K77" s="14" t="e">
        <f t="shared" si="9"/>
        <v>#DIV/0!</v>
      </c>
      <c r="L77" s="7" t="e">
        <f t="shared" si="10"/>
        <v>#DIV/0!</v>
      </c>
      <c r="M77" s="2" t="e">
        <f t="shared" si="11"/>
        <v>#DIV/0!</v>
      </c>
    </row>
    <row r="78" spans="1:13">
      <c r="A78" s="13"/>
      <c r="H78" s="2">
        <f t="shared" si="6"/>
        <v>0</v>
      </c>
      <c r="I78" s="14" t="e">
        <f t="shared" si="7"/>
        <v>#DIV/0!</v>
      </c>
      <c r="J78" s="2">
        <f t="shared" si="8"/>
        <v>0</v>
      </c>
      <c r="K78" s="14" t="e">
        <f t="shared" si="9"/>
        <v>#DIV/0!</v>
      </c>
      <c r="L78" s="7" t="e">
        <f t="shared" si="10"/>
        <v>#DIV/0!</v>
      </c>
      <c r="M78" s="2" t="e">
        <f t="shared" si="11"/>
        <v>#DIV/0!</v>
      </c>
    </row>
    <row r="79" spans="1:13">
      <c r="A79" s="13"/>
      <c r="H79" s="2">
        <f t="shared" si="6"/>
        <v>0</v>
      </c>
      <c r="I79" s="14" t="e">
        <f t="shared" si="7"/>
        <v>#DIV/0!</v>
      </c>
      <c r="J79" s="2">
        <f t="shared" si="8"/>
        <v>0</v>
      </c>
      <c r="K79" s="14" t="e">
        <f t="shared" si="9"/>
        <v>#DIV/0!</v>
      </c>
      <c r="L79" s="7" t="e">
        <f t="shared" si="10"/>
        <v>#DIV/0!</v>
      </c>
      <c r="M79" s="2" t="e">
        <f t="shared" si="11"/>
        <v>#DIV/0!</v>
      </c>
    </row>
    <row r="80" spans="1:13">
      <c r="A80" s="13"/>
      <c r="H80" s="2">
        <f t="shared" si="6"/>
        <v>0</v>
      </c>
      <c r="I80" s="14" t="e">
        <f t="shared" si="7"/>
        <v>#DIV/0!</v>
      </c>
      <c r="J80" s="2">
        <f t="shared" si="8"/>
        <v>0</v>
      </c>
      <c r="K80" s="14" t="e">
        <f t="shared" si="9"/>
        <v>#DIV/0!</v>
      </c>
      <c r="L80" s="7" t="e">
        <f t="shared" si="10"/>
        <v>#DIV/0!</v>
      </c>
      <c r="M80" s="2" t="e">
        <f t="shared" si="11"/>
        <v>#DIV/0!</v>
      </c>
    </row>
    <row r="81" spans="1:13">
      <c r="A81" s="13"/>
      <c r="H81" s="2">
        <f t="shared" si="6"/>
        <v>0</v>
      </c>
      <c r="I81" s="14" t="e">
        <f t="shared" si="7"/>
        <v>#DIV/0!</v>
      </c>
      <c r="J81" s="2">
        <f t="shared" si="8"/>
        <v>0</v>
      </c>
      <c r="K81" s="14" t="e">
        <f t="shared" si="9"/>
        <v>#DIV/0!</v>
      </c>
      <c r="L81" s="7" t="e">
        <f t="shared" si="10"/>
        <v>#DIV/0!</v>
      </c>
      <c r="M81" s="2" t="e">
        <f t="shared" si="11"/>
        <v>#DIV/0!</v>
      </c>
    </row>
    <row r="82" spans="1:13">
      <c r="A82" s="13"/>
      <c r="H82" s="2">
        <f t="shared" si="6"/>
        <v>0</v>
      </c>
      <c r="I82" s="14" t="e">
        <f t="shared" si="7"/>
        <v>#DIV/0!</v>
      </c>
      <c r="J82" s="2">
        <f t="shared" si="8"/>
        <v>0</v>
      </c>
      <c r="K82" s="14" t="e">
        <f t="shared" si="9"/>
        <v>#DIV/0!</v>
      </c>
      <c r="L82" s="7" t="e">
        <f t="shared" si="10"/>
        <v>#DIV/0!</v>
      </c>
      <c r="M82" s="2" t="e">
        <f t="shared" si="11"/>
        <v>#DIV/0!</v>
      </c>
    </row>
    <row r="83" spans="1:13">
      <c r="A83" s="13"/>
      <c r="H83" s="2">
        <f t="shared" si="6"/>
        <v>0</v>
      </c>
      <c r="I83" s="14" t="e">
        <f t="shared" si="7"/>
        <v>#DIV/0!</v>
      </c>
      <c r="J83" s="2">
        <f t="shared" si="8"/>
        <v>0</v>
      </c>
      <c r="K83" s="14" t="e">
        <f t="shared" si="9"/>
        <v>#DIV/0!</v>
      </c>
      <c r="L83" s="7" t="e">
        <f t="shared" si="10"/>
        <v>#DIV/0!</v>
      </c>
      <c r="M83" s="2" t="e">
        <f t="shared" si="11"/>
        <v>#DIV/0!</v>
      </c>
    </row>
    <row r="84" spans="1:13">
      <c r="A84" s="13"/>
      <c r="H84" s="2">
        <f t="shared" si="6"/>
        <v>0</v>
      </c>
      <c r="I84" s="14" t="e">
        <f t="shared" si="7"/>
        <v>#DIV/0!</v>
      </c>
      <c r="J84" s="2">
        <f t="shared" si="8"/>
        <v>0</v>
      </c>
      <c r="K84" s="14" t="e">
        <f t="shared" si="9"/>
        <v>#DIV/0!</v>
      </c>
      <c r="L84" s="7" t="e">
        <f t="shared" si="10"/>
        <v>#DIV/0!</v>
      </c>
      <c r="M84" s="2" t="e">
        <f t="shared" si="11"/>
        <v>#DIV/0!</v>
      </c>
    </row>
    <row r="85" spans="1:13">
      <c r="A85" s="13"/>
      <c r="H85" s="2">
        <f t="shared" si="6"/>
        <v>0</v>
      </c>
      <c r="I85" s="14" t="e">
        <f t="shared" si="7"/>
        <v>#DIV/0!</v>
      </c>
      <c r="J85" s="2">
        <f t="shared" si="8"/>
        <v>0</v>
      </c>
      <c r="K85" s="14" t="e">
        <f t="shared" si="9"/>
        <v>#DIV/0!</v>
      </c>
      <c r="L85" s="7" t="e">
        <f t="shared" si="10"/>
        <v>#DIV/0!</v>
      </c>
      <c r="M85" s="2" t="e">
        <f t="shared" si="11"/>
        <v>#DIV/0!</v>
      </c>
    </row>
    <row r="86" spans="1:13">
      <c r="A86" s="13"/>
      <c r="H86" s="2">
        <f t="shared" si="6"/>
        <v>0</v>
      </c>
      <c r="I86" s="14" t="e">
        <f t="shared" si="7"/>
        <v>#DIV/0!</v>
      </c>
      <c r="J86" s="2">
        <f t="shared" si="8"/>
        <v>0</v>
      </c>
      <c r="K86" s="14" t="e">
        <f t="shared" si="9"/>
        <v>#DIV/0!</v>
      </c>
      <c r="L86" s="7" t="e">
        <f t="shared" si="10"/>
        <v>#DIV/0!</v>
      </c>
      <c r="M86" s="2" t="e">
        <f t="shared" si="11"/>
        <v>#DIV/0!</v>
      </c>
    </row>
    <row r="87" spans="1:13">
      <c r="A87" s="13"/>
      <c r="H87" s="2">
        <f t="shared" si="6"/>
        <v>0</v>
      </c>
      <c r="I87" s="14" t="e">
        <f t="shared" si="7"/>
        <v>#DIV/0!</v>
      </c>
      <c r="J87" s="2">
        <f t="shared" si="8"/>
        <v>0</v>
      </c>
      <c r="K87" s="14" t="e">
        <f t="shared" si="9"/>
        <v>#DIV/0!</v>
      </c>
      <c r="L87" s="7" t="e">
        <f t="shared" si="10"/>
        <v>#DIV/0!</v>
      </c>
      <c r="M87" s="2" t="e">
        <f t="shared" si="11"/>
        <v>#DIV/0!</v>
      </c>
    </row>
    <row r="88" spans="1:13">
      <c r="A88" s="13"/>
      <c r="H88" s="2">
        <f t="shared" si="6"/>
        <v>0</v>
      </c>
      <c r="I88" s="14" t="e">
        <f t="shared" si="7"/>
        <v>#DIV/0!</v>
      </c>
      <c r="J88" s="2">
        <f t="shared" si="8"/>
        <v>0</v>
      </c>
      <c r="K88" s="14" t="e">
        <f t="shared" si="9"/>
        <v>#DIV/0!</v>
      </c>
      <c r="L88" s="7" t="e">
        <f t="shared" si="10"/>
        <v>#DIV/0!</v>
      </c>
      <c r="M88" s="2" t="e">
        <f t="shared" si="11"/>
        <v>#DIV/0!</v>
      </c>
    </row>
    <row r="89" spans="1:13">
      <c r="A89" s="13"/>
      <c r="H89" s="2">
        <f t="shared" si="6"/>
        <v>0</v>
      </c>
      <c r="I89" s="14" t="e">
        <f t="shared" si="7"/>
        <v>#DIV/0!</v>
      </c>
      <c r="J89" s="2">
        <f t="shared" si="8"/>
        <v>0</v>
      </c>
      <c r="K89" s="14" t="e">
        <f t="shared" si="9"/>
        <v>#DIV/0!</v>
      </c>
      <c r="L89" s="7" t="e">
        <f t="shared" si="10"/>
        <v>#DIV/0!</v>
      </c>
      <c r="M89" s="2" t="e">
        <f t="shared" si="11"/>
        <v>#DIV/0!</v>
      </c>
    </row>
    <row r="90" spans="1:13">
      <c r="A90" s="13"/>
      <c r="H90" s="2">
        <f t="shared" si="6"/>
        <v>0</v>
      </c>
      <c r="I90" s="14" t="e">
        <f t="shared" si="7"/>
        <v>#DIV/0!</v>
      </c>
      <c r="J90" s="2">
        <f t="shared" si="8"/>
        <v>0</v>
      </c>
      <c r="K90" s="14" t="e">
        <f t="shared" si="9"/>
        <v>#DIV/0!</v>
      </c>
      <c r="L90" s="7" t="e">
        <f t="shared" si="10"/>
        <v>#DIV/0!</v>
      </c>
      <c r="M90" s="2" t="e">
        <f t="shared" si="11"/>
        <v>#DIV/0!</v>
      </c>
    </row>
    <row r="91" spans="1:13">
      <c r="A91" s="13"/>
      <c r="H91" s="2">
        <f t="shared" si="6"/>
        <v>0</v>
      </c>
      <c r="I91" s="14" t="e">
        <f t="shared" si="7"/>
        <v>#DIV/0!</v>
      </c>
      <c r="J91" s="2">
        <f t="shared" si="8"/>
        <v>0</v>
      </c>
      <c r="K91" s="14" t="e">
        <f t="shared" si="9"/>
        <v>#DIV/0!</v>
      </c>
      <c r="L91" s="7" t="e">
        <f t="shared" si="10"/>
        <v>#DIV/0!</v>
      </c>
      <c r="M91" s="2" t="e">
        <f t="shared" si="11"/>
        <v>#DIV/0!</v>
      </c>
    </row>
    <row r="92" spans="1:13">
      <c r="A92" s="13"/>
      <c r="H92" s="2">
        <f t="shared" si="6"/>
        <v>0</v>
      </c>
      <c r="I92" s="14" t="e">
        <f t="shared" si="7"/>
        <v>#DIV/0!</v>
      </c>
      <c r="J92" s="2">
        <f t="shared" si="8"/>
        <v>0</v>
      </c>
      <c r="K92" s="14" t="e">
        <f t="shared" si="9"/>
        <v>#DIV/0!</v>
      </c>
      <c r="L92" s="7" t="e">
        <f t="shared" si="10"/>
        <v>#DIV/0!</v>
      </c>
      <c r="M92" s="2" t="e">
        <f t="shared" si="11"/>
        <v>#DIV/0!</v>
      </c>
    </row>
    <row r="93" spans="1:13">
      <c r="A93" s="13"/>
      <c r="H93" s="2">
        <f t="shared" si="6"/>
        <v>0</v>
      </c>
      <c r="I93" s="14" t="e">
        <f t="shared" si="7"/>
        <v>#DIV/0!</v>
      </c>
      <c r="J93" s="2">
        <f t="shared" si="8"/>
        <v>0</v>
      </c>
      <c r="K93" s="14" t="e">
        <f t="shared" si="9"/>
        <v>#DIV/0!</v>
      </c>
      <c r="L93" s="7" t="e">
        <f t="shared" si="10"/>
        <v>#DIV/0!</v>
      </c>
      <c r="M93" s="2" t="e">
        <f t="shared" si="11"/>
        <v>#DIV/0!</v>
      </c>
    </row>
    <row r="94" spans="1:13">
      <c r="A94" s="13"/>
      <c r="H94" s="2">
        <f t="shared" si="6"/>
        <v>0</v>
      </c>
      <c r="I94" s="14" t="e">
        <f t="shared" si="7"/>
        <v>#DIV/0!</v>
      </c>
      <c r="J94" s="2">
        <f t="shared" si="8"/>
        <v>0</v>
      </c>
      <c r="K94" s="14" t="e">
        <f t="shared" si="9"/>
        <v>#DIV/0!</v>
      </c>
      <c r="L94" s="7" t="e">
        <f t="shared" si="10"/>
        <v>#DIV/0!</v>
      </c>
      <c r="M94" s="2" t="e">
        <f t="shared" si="11"/>
        <v>#DIV/0!</v>
      </c>
    </row>
    <row r="95" spans="1:13">
      <c r="A95" s="13"/>
      <c r="H95" s="2">
        <f t="shared" si="6"/>
        <v>0</v>
      </c>
      <c r="I95" s="14" t="e">
        <f t="shared" si="7"/>
        <v>#DIV/0!</v>
      </c>
      <c r="J95" s="2">
        <f t="shared" si="8"/>
        <v>0</v>
      </c>
      <c r="K95" s="14" t="e">
        <f t="shared" si="9"/>
        <v>#DIV/0!</v>
      </c>
      <c r="L95" s="7" t="e">
        <f t="shared" si="10"/>
        <v>#DIV/0!</v>
      </c>
      <c r="M95" s="2" t="e">
        <f t="shared" si="11"/>
        <v>#DIV/0!</v>
      </c>
    </row>
    <row r="96" spans="1:13">
      <c r="A96" s="13"/>
      <c r="H96" s="2">
        <f t="shared" si="6"/>
        <v>0</v>
      </c>
      <c r="I96" s="14" t="e">
        <f t="shared" si="7"/>
        <v>#DIV/0!</v>
      </c>
      <c r="J96" s="2">
        <f t="shared" si="8"/>
        <v>0</v>
      </c>
      <c r="K96" s="14" t="e">
        <f t="shared" si="9"/>
        <v>#DIV/0!</v>
      </c>
      <c r="L96" s="7" t="e">
        <f t="shared" si="10"/>
        <v>#DIV/0!</v>
      </c>
      <c r="M96" s="2" t="e">
        <f t="shared" si="11"/>
        <v>#DIV/0!</v>
      </c>
    </row>
    <row r="97" spans="1:13">
      <c r="A97" s="13"/>
      <c r="H97" s="2">
        <f t="shared" si="6"/>
        <v>0</v>
      </c>
      <c r="I97" s="14" t="e">
        <f t="shared" si="7"/>
        <v>#DIV/0!</v>
      </c>
      <c r="J97" s="2">
        <f t="shared" si="8"/>
        <v>0</v>
      </c>
      <c r="K97" s="14" t="e">
        <f t="shared" si="9"/>
        <v>#DIV/0!</v>
      </c>
      <c r="L97" s="7" t="e">
        <f t="shared" si="10"/>
        <v>#DIV/0!</v>
      </c>
      <c r="M97" s="2" t="e">
        <f t="shared" si="11"/>
        <v>#DIV/0!</v>
      </c>
    </row>
    <row r="98" spans="1:13">
      <c r="A98" s="13"/>
      <c r="H98" s="2">
        <f t="shared" si="6"/>
        <v>0</v>
      </c>
      <c r="I98" s="14" t="e">
        <f t="shared" si="7"/>
        <v>#DIV/0!</v>
      </c>
      <c r="J98" s="2">
        <f t="shared" si="8"/>
        <v>0</v>
      </c>
      <c r="K98" s="14" t="e">
        <f t="shared" si="9"/>
        <v>#DIV/0!</v>
      </c>
      <c r="L98" s="7" t="e">
        <f t="shared" si="10"/>
        <v>#DIV/0!</v>
      </c>
      <c r="M98" s="2" t="e">
        <f t="shared" si="11"/>
        <v>#DIV/0!</v>
      </c>
    </row>
    <row r="99" spans="1:13">
      <c r="A99" s="13"/>
      <c r="H99" s="2">
        <f t="shared" si="6"/>
        <v>0</v>
      </c>
      <c r="I99" s="14" t="e">
        <f t="shared" si="7"/>
        <v>#DIV/0!</v>
      </c>
      <c r="J99" s="2">
        <f t="shared" si="8"/>
        <v>0</v>
      </c>
      <c r="K99" s="14" t="e">
        <f t="shared" si="9"/>
        <v>#DIV/0!</v>
      </c>
      <c r="L99" s="7" t="e">
        <f t="shared" si="10"/>
        <v>#DIV/0!</v>
      </c>
      <c r="M99" s="2" t="e">
        <f t="shared" si="11"/>
        <v>#DIV/0!</v>
      </c>
    </row>
    <row r="100" spans="1:13">
      <c r="A100" s="13"/>
      <c r="H100" s="2">
        <f t="shared" si="6"/>
        <v>0</v>
      </c>
      <c r="I100" s="14" t="e">
        <f t="shared" si="7"/>
        <v>#DIV/0!</v>
      </c>
      <c r="J100" s="2">
        <f t="shared" si="8"/>
        <v>0</v>
      </c>
      <c r="K100" s="14" t="e">
        <f t="shared" si="9"/>
        <v>#DIV/0!</v>
      </c>
      <c r="L100" s="7" t="e">
        <f t="shared" si="10"/>
        <v>#DIV/0!</v>
      </c>
      <c r="M100" s="2" t="e">
        <f t="shared" si="11"/>
        <v>#DIV/0!</v>
      </c>
    </row>
    <row r="101" spans="1:13">
      <c r="A101" s="13"/>
      <c r="H101" s="2">
        <f t="shared" si="6"/>
        <v>0</v>
      </c>
      <c r="I101" s="14" t="e">
        <f t="shared" si="7"/>
        <v>#DIV/0!</v>
      </c>
      <c r="J101" s="2">
        <f t="shared" si="8"/>
        <v>0</v>
      </c>
      <c r="K101" s="14" t="e">
        <f t="shared" si="9"/>
        <v>#DIV/0!</v>
      </c>
      <c r="L101" s="7" t="e">
        <f t="shared" si="10"/>
        <v>#DIV/0!</v>
      </c>
      <c r="M101" s="2" t="e">
        <f t="shared" si="11"/>
        <v>#DIV/0!</v>
      </c>
    </row>
    <row r="102" spans="1:13">
      <c r="A102" s="13"/>
      <c r="H102" s="2">
        <f t="shared" si="6"/>
        <v>0</v>
      </c>
      <c r="I102" s="14" t="e">
        <f t="shared" si="7"/>
        <v>#DIV/0!</v>
      </c>
      <c r="J102" s="2">
        <f t="shared" si="8"/>
        <v>0</v>
      </c>
      <c r="K102" s="14" t="e">
        <f t="shared" si="9"/>
        <v>#DIV/0!</v>
      </c>
      <c r="L102" s="7" t="e">
        <f t="shared" si="10"/>
        <v>#DIV/0!</v>
      </c>
      <c r="M102" s="2" t="e">
        <f t="shared" si="11"/>
        <v>#DIV/0!</v>
      </c>
    </row>
    <row r="103" spans="1:13">
      <c r="A103" s="13"/>
      <c r="H103" s="2">
        <f t="shared" si="6"/>
        <v>0</v>
      </c>
      <c r="I103" s="14" t="e">
        <f t="shared" si="7"/>
        <v>#DIV/0!</v>
      </c>
      <c r="J103" s="2">
        <f t="shared" si="8"/>
        <v>0</v>
      </c>
      <c r="K103" s="14" t="e">
        <f t="shared" si="9"/>
        <v>#DIV/0!</v>
      </c>
      <c r="L103" s="7" t="e">
        <f t="shared" si="10"/>
        <v>#DIV/0!</v>
      </c>
      <c r="M103" s="2" t="e">
        <f t="shared" si="11"/>
        <v>#DIV/0!</v>
      </c>
    </row>
    <row r="104" spans="1:13">
      <c r="A104" s="13"/>
      <c r="H104" s="2">
        <f t="shared" si="6"/>
        <v>0</v>
      </c>
      <c r="I104" s="14" t="e">
        <f t="shared" si="7"/>
        <v>#DIV/0!</v>
      </c>
      <c r="J104" s="2">
        <f t="shared" si="8"/>
        <v>0</v>
      </c>
      <c r="K104" s="14" t="e">
        <f t="shared" si="9"/>
        <v>#DIV/0!</v>
      </c>
      <c r="L104" s="7" t="e">
        <f t="shared" si="10"/>
        <v>#DIV/0!</v>
      </c>
      <c r="M104" s="2" t="e">
        <f t="shared" si="11"/>
        <v>#DIV/0!</v>
      </c>
    </row>
    <row r="105" spans="1:13">
      <c r="A105" s="13"/>
      <c r="H105" s="2">
        <f t="shared" si="6"/>
        <v>0</v>
      </c>
      <c r="I105" s="14" t="e">
        <f t="shared" si="7"/>
        <v>#DIV/0!</v>
      </c>
      <c r="J105" s="2">
        <f t="shared" si="8"/>
        <v>0</v>
      </c>
      <c r="K105" s="14" t="e">
        <f t="shared" si="9"/>
        <v>#DIV/0!</v>
      </c>
      <c r="L105" s="7" t="e">
        <f t="shared" si="10"/>
        <v>#DIV/0!</v>
      </c>
      <c r="M105" s="2" t="e">
        <f t="shared" si="11"/>
        <v>#DIV/0!</v>
      </c>
    </row>
    <row r="106" spans="1:13">
      <c r="A106" s="13"/>
      <c r="H106" s="2">
        <f t="shared" si="6"/>
        <v>0</v>
      </c>
      <c r="I106" s="14" t="e">
        <f t="shared" si="7"/>
        <v>#DIV/0!</v>
      </c>
      <c r="J106" s="2">
        <f t="shared" si="8"/>
        <v>0</v>
      </c>
      <c r="K106" s="14" t="e">
        <f t="shared" si="9"/>
        <v>#DIV/0!</v>
      </c>
      <c r="L106" s="7" t="e">
        <f t="shared" si="10"/>
        <v>#DIV/0!</v>
      </c>
      <c r="M106" s="2" t="e">
        <f t="shared" si="11"/>
        <v>#DIV/0!</v>
      </c>
    </row>
    <row r="107" spans="1:13">
      <c r="A107" s="13"/>
      <c r="H107" s="2">
        <f t="shared" si="6"/>
        <v>0</v>
      </c>
      <c r="I107" s="14" t="e">
        <f t="shared" si="7"/>
        <v>#DIV/0!</v>
      </c>
      <c r="J107" s="2">
        <f t="shared" si="8"/>
        <v>0</v>
      </c>
      <c r="K107" s="14" t="e">
        <f t="shared" si="9"/>
        <v>#DIV/0!</v>
      </c>
      <c r="L107" s="7" t="e">
        <f t="shared" si="10"/>
        <v>#DIV/0!</v>
      </c>
      <c r="M107" s="2" t="e">
        <f t="shared" si="11"/>
        <v>#DIV/0!</v>
      </c>
    </row>
    <row r="108" spans="1:13">
      <c r="A108" s="13"/>
      <c r="H108" s="2">
        <f t="shared" si="6"/>
        <v>0</v>
      </c>
      <c r="I108" s="14" t="e">
        <f t="shared" si="7"/>
        <v>#DIV/0!</v>
      </c>
      <c r="J108" s="2">
        <f t="shared" si="8"/>
        <v>0</v>
      </c>
      <c r="K108" s="14" t="e">
        <f t="shared" si="9"/>
        <v>#DIV/0!</v>
      </c>
      <c r="L108" s="7" t="e">
        <f t="shared" si="10"/>
        <v>#DIV/0!</v>
      </c>
      <c r="M108" s="2" t="e">
        <f t="shared" si="11"/>
        <v>#DIV/0!</v>
      </c>
    </row>
    <row r="109" spans="1:13">
      <c r="A109" s="13"/>
      <c r="H109" s="2">
        <f t="shared" si="6"/>
        <v>0</v>
      </c>
      <c r="I109" s="14" t="e">
        <f t="shared" si="7"/>
        <v>#DIV/0!</v>
      </c>
      <c r="J109" s="2">
        <f t="shared" si="8"/>
        <v>0</v>
      </c>
      <c r="K109" s="14" t="e">
        <f t="shared" si="9"/>
        <v>#DIV/0!</v>
      </c>
      <c r="L109" s="7" t="e">
        <f t="shared" si="10"/>
        <v>#DIV/0!</v>
      </c>
      <c r="M109" s="2" t="e">
        <f t="shared" si="11"/>
        <v>#DIV/0!</v>
      </c>
    </row>
    <row r="110" spans="1:13">
      <c r="A110" s="13"/>
      <c r="H110" s="2">
        <f t="shared" si="6"/>
        <v>0</v>
      </c>
      <c r="I110" s="14" t="e">
        <f t="shared" si="7"/>
        <v>#DIV/0!</v>
      </c>
      <c r="J110" s="2">
        <f t="shared" si="8"/>
        <v>0</v>
      </c>
      <c r="K110" s="14" t="e">
        <f t="shared" si="9"/>
        <v>#DIV/0!</v>
      </c>
      <c r="L110" s="7" t="e">
        <f t="shared" si="10"/>
        <v>#DIV/0!</v>
      </c>
      <c r="M110" s="2" t="e">
        <f t="shared" si="11"/>
        <v>#DIV/0!</v>
      </c>
    </row>
    <row r="111" spans="1:13">
      <c r="A111" s="13"/>
      <c r="H111" s="2">
        <f t="shared" si="6"/>
        <v>0</v>
      </c>
      <c r="I111" s="14" t="e">
        <f t="shared" si="7"/>
        <v>#DIV/0!</v>
      </c>
      <c r="J111" s="2">
        <f t="shared" si="8"/>
        <v>0</v>
      </c>
      <c r="K111" s="14" t="e">
        <f t="shared" si="9"/>
        <v>#DIV/0!</v>
      </c>
      <c r="L111" s="7" t="e">
        <f t="shared" si="10"/>
        <v>#DIV/0!</v>
      </c>
      <c r="M111" s="2" t="e">
        <f t="shared" si="11"/>
        <v>#DIV/0!</v>
      </c>
    </row>
    <row r="112" spans="1:13">
      <c r="A112" s="13"/>
      <c r="H112" s="2">
        <f t="shared" si="6"/>
        <v>0</v>
      </c>
      <c r="I112" s="14" t="e">
        <f t="shared" si="7"/>
        <v>#DIV/0!</v>
      </c>
      <c r="J112" s="2">
        <f t="shared" si="8"/>
        <v>0</v>
      </c>
      <c r="K112" s="14" t="e">
        <f t="shared" si="9"/>
        <v>#DIV/0!</v>
      </c>
      <c r="L112" s="7" t="e">
        <f t="shared" si="10"/>
        <v>#DIV/0!</v>
      </c>
      <c r="M112" s="2" t="e">
        <f t="shared" si="11"/>
        <v>#DIV/0!</v>
      </c>
    </row>
    <row r="113" spans="1:13">
      <c r="A113" s="13"/>
      <c r="H113" s="2">
        <f t="shared" si="6"/>
        <v>0</v>
      </c>
      <c r="I113" s="14" t="e">
        <f t="shared" si="7"/>
        <v>#DIV/0!</v>
      </c>
      <c r="J113" s="2">
        <f t="shared" si="8"/>
        <v>0</v>
      </c>
      <c r="K113" s="14" t="e">
        <f t="shared" si="9"/>
        <v>#DIV/0!</v>
      </c>
      <c r="L113" s="7" t="e">
        <f t="shared" si="10"/>
        <v>#DIV/0!</v>
      </c>
      <c r="M113" s="2" t="e">
        <f t="shared" si="11"/>
        <v>#DIV/0!</v>
      </c>
    </row>
    <row r="114" spans="1:13">
      <c r="A114" s="13"/>
      <c r="H114" s="2">
        <f t="shared" si="6"/>
        <v>0</v>
      </c>
      <c r="I114" s="14" t="e">
        <f t="shared" si="7"/>
        <v>#DIV/0!</v>
      </c>
      <c r="J114" s="2">
        <f t="shared" si="8"/>
        <v>0</v>
      </c>
      <c r="K114" s="14" t="e">
        <f t="shared" si="9"/>
        <v>#DIV/0!</v>
      </c>
      <c r="L114" s="7" t="e">
        <f t="shared" si="10"/>
        <v>#DIV/0!</v>
      </c>
      <c r="M114" s="2" t="e">
        <f t="shared" si="11"/>
        <v>#DIV/0!</v>
      </c>
    </row>
    <row r="115" spans="1:13">
      <c r="A115" s="13"/>
      <c r="H115" s="2">
        <f t="shared" si="6"/>
        <v>0</v>
      </c>
      <c r="I115" s="14" t="e">
        <f t="shared" si="7"/>
        <v>#DIV/0!</v>
      </c>
      <c r="J115" s="2">
        <f t="shared" si="8"/>
        <v>0</v>
      </c>
      <c r="K115" s="14" t="e">
        <f t="shared" si="9"/>
        <v>#DIV/0!</v>
      </c>
      <c r="L115" s="7" t="e">
        <f t="shared" si="10"/>
        <v>#DIV/0!</v>
      </c>
      <c r="M115" s="2" t="e">
        <f t="shared" si="11"/>
        <v>#DIV/0!</v>
      </c>
    </row>
    <row r="116" spans="1:13">
      <c r="A116" s="13"/>
      <c r="H116" s="2">
        <f t="shared" si="6"/>
        <v>0</v>
      </c>
      <c r="I116" s="14" t="e">
        <f t="shared" si="7"/>
        <v>#DIV/0!</v>
      </c>
      <c r="J116" s="2">
        <f t="shared" si="8"/>
        <v>0</v>
      </c>
      <c r="K116" s="14" t="e">
        <f t="shared" si="9"/>
        <v>#DIV/0!</v>
      </c>
      <c r="L116" s="7" t="e">
        <f t="shared" si="10"/>
        <v>#DIV/0!</v>
      </c>
      <c r="M116" s="2" t="e">
        <f t="shared" si="11"/>
        <v>#DIV/0!</v>
      </c>
    </row>
    <row r="117" spans="1:13">
      <c r="A117" s="13"/>
      <c r="H117" s="2">
        <f t="shared" si="6"/>
        <v>0</v>
      </c>
      <c r="I117" s="14" t="e">
        <f t="shared" si="7"/>
        <v>#DIV/0!</v>
      </c>
      <c r="J117" s="2">
        <f t="shared" si="8"/>
        <v>0</v>
      </c>
      <c r="K117" s="14" t="e">
        <f t="shared" si="9"/>
        <v>#DIV/0!</v>
      </c>
      <c r="L117" s="7" t="e">
        <f t="shared" si="10"/>
        <v>#DIV/0!</v>
      </c>
      <c r="M117" s="2" t="e">
        <f t="shared" si="11"/>
        <v>#DIV/0!</v>
      </c>
    </row>
    <row r="118" spans="1:13">
      <c r="A118" s="13"/>
      <c r="H118" s="2">
        <f t="shared" si="6"/>
        <v>0</v>
      </c>
      <c r="I118" s="14" t="e">
        <f t="shared" si="7"/>
        <v>#DIV/0!</v>
      </c>
      <c r="J118" s="2">
        <f t="shared" si="8"/>
        <v>0</v>
      </c>
      <c r="K118" s="14" t="e">
        <f t="shared" si="9"/>
        <v>#DIV/0!</v>
      </c>
      <c r="L118" s="7" t="e">
        <f t="shared" si="10"/>
        <v>#DIV/0!</v>
      </c>
      <c r="M118" s="2" t="e">
        <f t="shared" si="11"/>
        <v>#DIV/0!</v>
      </c>
    </row>
    <row r="119" spans="1:13">
      <c r="A119" s="13"/>
      <c r="H119" s="2">
        <f t="shared" si="6"/>
        <v>0</v>
      </c>
      <c r="I119" s="14" t="e">
        <f t="shared" si="7"/>
        <v>#DIV/0!</v>
      </c>
      <c r="J119" s="2">
        <f t="shared" si="8"/>
        <v>0</v>
      </c>
      <c r="K119" s="14" t="e">
        <f t="shared" si="9"/>
        <v>#DIV/0!</v>
      </c>
      <c r="L119" s="7" t="e">
        <f t="shared" si="10"/>
        <v>#DIV/0!</v>
      </c>
      <c r="M119" s="2" t="e">
        <f t="shared" si="11"/>
        <v>#DIV/0!</v>
      </c>
    </row>
    <row r="120" spans="1:13">
      <c r="A120" s="13"/>
      <c r="H120" s="2">
        <f t="shared" si="6"/>
        <v>0</v>
      </c>
      <c r="I120" s="14" t="e">
        <f t="shared" si="7"/>
        <v>#DIV/0!</v>
      </c>
      <c r="J120" s="2">
        <f t="shared" si="8"/>
        <v>0</v>
      </c>
      <c r="K120" s="14" t="e">
        <f t="shared" si="9"/>
        <v>#DIV/0!</v>
      </c>
      <c r="L120" s="7" t="e">
        <f t="shared" si="10"/>
        <v>#DIV/0!</v>
      </c>
      <c r="M120" s="2" t="e">
        <f t="shared" si="11"/>
        <v>#DIV/0!</v>
      </c>
    </row>
    <row r="121" spans="1:13">
      <c r="A121" s="13"/>
      <c r="H121" s="2">
        <f t="shared" si="6"/>
        <v>0</v>
      </c>
      <c r="I121" s="14" t="e">
        <f t="shared" si="7"/>
        <v>#DIV/0!</v>
      </c>
      <c r="J121" s="2">
        <f t="shared" si="8"/>
        <v>0</v>
      </c>
      <c r="K121" s="14" t="e">
        <f t="shared" si="9"/>
        <v>#DIV/0!</v>
      </c>
      <c r="L121" s="7" t="e">
        <f t="shared" si="10"/>
        <v>#DIV/0!</v>
      </c>
      <c r="M121" s="2" t="e">
        <f t="shared" si="11"/>
        <v>#DIV/0!</v>
      </c>
    </row>
    <row r="122" spans="1:13">
      <c r="A122" s="13"/>
      <c r="H122" s="2">
        <f t="shared" si="6"/>
        <v>0</v>
      </c>
      <c r="I122" s="14" t="e">
        <f t="shared" si="7"/>
        <v>#DIV/0!</v>
      </c>
      <c r="J122" s="2">
        <f t="shared" si="8"/>
        <v>0</v>
      </c>
      <c r="K122" s="14" t="e">
        <f t="shared" si="9"/>
        <v>#DIV/0!</v>
      </c>
      <c r="L122" s="7" t="e">
        <f t="shared" si="10"/>
        <v>#DIV/0!</v>
      </c>
      <c r="M122" s="2" t="e">
        <f t="shared" si="11"/>
        <v>#DIV/0!</v>
      </c>
    </row>
    <row r="123" spans="1:13">
      <c r="A123" s="13"/>
      <c r="H123" s="2">
        <f t="shared" si="6"/>
        <v>0</v>
      </c>
      <c r="I123" s="14" t="e">
        <f t="shared" si="7"/>
        <v>#DIV/0!</v>
      </c>
      <c r="J123" s="2">
        <f t="shared" si="8"/>
        <v>0</v>
      </c>
      <c r="K123" s="14" t="e">
        <f t="shared" si="9"/>
        <v>#DIV/0!</v>
      </c>
      <c r="L123" s="7" t="e">
        <f t="shared" si="10"/>
        <v>#DIV/0!</v>
      </c>
      <c r="M123" s="2" t="e">
        <f t="shared" si="11"/>
        <v>#DIV/0!</v>
      </c>
    </row>
    <row r="124" spans="1:13">
      <c r="A124" s="13"/>
      <c r="H124" s="2">
        <f t="shared" si="6"/>
        <v>0</v>
      </c>
      <c r="I124" s="14" t="e">
        <f t="shared" si="7"/>
        <v>#DIV/0!</v>
      </c>
      <c r="J124" s="2">
        <f t="shared" si="8"/>
        <v>0</v>
      </c>
      <c r="K124" s="14" t="e">
        <f t="shared" si="9"/>
        <v>#DIV/0!</v>
      </c>
      <c r="L124" s="7" t="e">
        <f t="shared" si="10"/>
        <v>#DIV/0!</v>
      </c>
      <c r="M124" s="2" t="e">
        <f t="shared" si="11"/>
        <v>#DIV/0!</v>
      </c>
    </row>
    <row r="125" spans="1:13">
      <c r="A125" s="13"/>
      <c r="H125" s="2">
        <f t="shared" si="6"/>
        <v>0</v>
      </c>
      <c r="I125" s="14" t="e">
        <f t="shared" si="7"/>
        <v>#DIV/0!</v>
      </c>
      <c r="J125" s="2">
        <f t="shared" si="8"/>
        <v>0</v>
      </c>
      <c r="K125" s="14" t="e">
        <f t="shared" si="9"/>
        <v>#DIV/0!</v>
      </c>
      <c r="L125" s="7" t="e">
        <f t="shared" si="10"/>
        <v>#DIV/0!</v>
      </c>
      <c r="M125" s="2" t="e">
        <f t="shared" si="11"/>
        <v>#DIV/0!</v>
      </c>
    </row>
    <row r="126" spans="1:13">
      <c r="A126" s="13"/>
      <c r="H126" s="2">
        <f t="shared" si="6"/>
        <v>0</v>
      </c>
      <c r="I126" s="14" t="e">
        <f t="shared" si="7"/>
        <v>#DIV/0!</v>
      </c>
      <c r="J126" s="2">
        <f t="shared" si="8"/>
        <v>0</v>
      </c>
      <c r="K126" s="14" t="e">
        <f t="shared" si="9"/>
        <v>#DIV/0!</v>
      </c>
      <c r="L126" s="7" t="e">
        <f t="shared" si="10"/>
        <v>#DIV/0!</v>
      </c>
      <c r="M126" s="2" t="e">
        <f t="shared" si="11"/>
        <v>#DIV/0!</v>
      </c>
    </row>
    <row r="127" spans="1:13">
      <c r="A127" s="13"/>
      <c r="H127" s="2">
        <f t="shared" si="6"/>
        <v>0</v>
      </c>
      <c r="I127" s="14" t="e">
        <f t="shared" si="7"/>
        <v>#DIV/0!</v>
      </c>
      <c r="J127" s="2">
        <f t="shared" si="8"/>
        <v>0</v>
      </c>
      <c r="K127" s="14" t="e">
        <f t="shared" si="9"/>
        <v>#DIV/0!</v>
      </c>
      <c r="L127" s="7" t="e">
        <f t="shared" si="10"/>
        <v>#DIV/0!</v>
      </c>
      <c r="M127" s="2" t="e">
        <f t="shared" si="11"/>
        <v>#DIV/0!</v>
      </c>
    </row>
    <row r="128" spans="1:13">
      <c r="A128" s="13"/>
      <c r="H128" s="2">
        <f t="shared" si="6"/>
        <v>0</v>
      </c>
      <c r="I128" s="14" t="e">
        <f t="shared" si="7"/>
        <v>#DIV/0!</v>
      </c>
      <c r="J128" s="2">
        <f t="shared" si="8"/>
        <v>0</v>
      </c>
      <c r="K128" s="14" t="e">
        <f t="shared" si="9"/>
        <v>#DIV/0!</v>
      </c>
      <c r="L128" s="7" t="e">
        <f t="shared" si="10"/>
        <v>#DIV/0!</v>
      </c>
      <c r="M128" s="2" t="e">
        <f t="shared" si="11"/>
        <v>#DIV/0!</v>
      </c>
    </row>
    <row r="129" spans="1:13">
      <c r="A129" s="13"/>
      <c r="H129" s="2">
        <f t="shared" si="6"/>
        <v>0</v>
      </c>
      <c r="I129" s="14" t="e">
        <f t="shared" si="7"/>
        <v>#DIV/0!</v>
      </c>
      <c r="J129" s="2">
        <f t="shared" si="8"/>
        <v>0</v>
      </c>
      <c r="K129" s="14" t="e">
        <f t="shared" si="9"/>
        <v>#DIV/0!</v>
      </c>
      <c r="L129" s="7" t="e">
        <f t="shared" si="10"/>
        <v>#DIV/0!</v>
      </c>
      <c r="M129" s="2" t="e">
        <f t="shared" si="11"/>
        <v>#DIV/0!</v>
      </c>
    </row>
    <row r="130" spans="1:13">
      <c r="A130" s="13"/>
      <c r="H130" s="2">
        <f t="shared" si="6"/>
        <v>0</v>
      </c>
      <c r="I130" s="14" t="e">
        <f t="shared" si="7"/>
        <v>#DIV/0!</v>
      </c>
      <c r="J130" s="2">
        <f t="shared" si="8"/>
        <v>0</v>
      </c>
      <c r="K130" s="14" t="e">
        <f t="shared" si="9"/>
        <v>#DIV/0!</v>
      </c>
      <c r="L130" s="7" t="e">
        <f t="shared" si="10"/>
        <v>#DIV/0!</v>
      </c>
      <c r="M130" s="2" t="e">
        <f t="shared" si="11"/>
        <v>#DIV/0!</v>
      </c>
    </row>
    <row r="131" spans="1:13">
      <c r="A131" s="13"/>
      <c r="H131" s="2">
        <f t="shared" si="6"/>
        <v>0</v>
      </c>
      <c r="I131" s="14" t="e">
        <f t="shared" si="7"/>
        <v>#DIV/0!</v>
      </c>
      <c r="J131" s="2">
        <f t="shared" si="8"/>
        <v>0</v>
      </c>
      <c r="K131" s="14" t="e">
        <f t="shared" si="9"/>
        <v>#DIV/0!</v>
      </c>
      <c r="L131" s="7" t="e">
        <f t="shared" si="10"/>
        <v>#DIV/0!</v>
      </c>
      <c r="M131" s="2" t="e">
        <f t="shared" si="11"/>
        <v>#DIV/0!</v>
      </c>
    </row>
    <row r="132" spans="1:13">
      <c r="A132" s="13"/>
      <c r="H132" s="2">
        <f t="shared" si="6"/>
        <v>0</v>
      </c>
      <c r="I132" s="14" t="e">
        <f t="shared" si="7"/>
        <v>#DIV/0!</v>
      </c>
      <c r="J132" s="2">
        <f t="shared" si="8"/>
        <v>0</v>
      </c>
      <c r="K132" s="14" t="e">
        <f t="shared" si="9"/>
        <v>#DIV/0!</v>
      </c>
      <c r="L132" s="7" t="e">
        <f t="shared" si="10"/>
        <v>#DIV/0!</v>
      </c>
      <c r="M132" s="2" t="e">
        <f t="shared" si="11"/>
        <v>#DIV/0!</v>
      </c>
    </row>
    <row r="133" spans="1:13">
      <c r="A133" s="13"/>
      <c r="H133" s="2">
        <f t="shared" si="6"/>
        <v>0</v>
      </c>
      <c r="I133" s="14" t="e">
        <f t="shared" si="7"/>
        <v>#DIV/0!</v>
      </c>
      <c r="J133" s="2">
        <f t="shared" si="8"/>
        <v>0</v>
      </c>
      <c r="K133" s="14" t="e">
        <f t="shared" si="9"/>
        <v>#DIV/0!</v>
      </c>
      <c r="L133" s="7" t="e">
        <f t="shared" si="10"/>
        <v>#DIV/0!</v>
      </c>
      <c r="M133" s="2" t="e">
        <f t="shared" si="11"/>
        <v>#DIV/0!</v>
      </c>
    </row>
    <row r="134" spans="1:13">
      <c r="A134" s="13"/>
      <c r="H134" s="2">
        <f t="shared" ref="H134:H197" si="12">F134-F133</f>
        <v>0</v>
      </c>
      <c r="I134" s="14" t="e">
        <f t="shared" ref="I134:I197" si="13">H134/F133</f>
        <v>#DIV/0!</v>
      </c>
      <c r="J134" s="2">
        <f t="shared" ref="J134:J197" si="14">G134-G133</f>
        <v>0</v>
      </c>
      <c r="K134" s="14" t="e">
        <f t="shared" ref="K134:K197" si="15">J134/G133</f>
        <v>#DIV/0!</v>
      </c>
      <c r="L134" s="7" t="e">
        <f t="shared" si="10"/>
        <v>#DIV/0!</v>
      </c>
      <c r="M134" s="2" t="e">
        <f t="shared" si="11"/>
        <v>#DIV/0!</v>
      </c>
    </row>
    <row r="135" spans="1:13">
      <c r="A135" s="13"/>
      <c r="H135" s="2">
        <f t="shared" si="12"/>
        <v>0</v>
      </c>
      <c r="I135" s="14" t="e">
        <f t="shared" si="13"/>
        <v>#DIV/0!</v>
      </c>
      <c r="J135" s="2">
        <f t="shared" si="14"/>
        <v>0</v>
      </c>
      <c r="K135" s="14" t="e">
        <f t="shared" si="15"/>
        <v>#DIV/0!</v>
      </c>
      <c r="L135" s="7" t="e">
        <f t="shared" ref="L135:L198" si="16">IF(AND(E135&gt;$T$4,I135&gt;$N$1),"BEARISH",IF(AND(E135&lt;$T$3,I135&gt;$N$1),"BULLISH",""))</f>
        <v>#DIV/0!</v>
      </c>
      <c r="M135" s="2" t="e">
        <f t="shared" ref="M135:M198" si="17">IF(AND(E135&gt;$T$3,E134&lt;$T$44,I135&gt;$N$2),"BEARISH REVERESAL",IF(AND(E135&lt;$T$4,E134&gt;$T$3,I135&gt;$N$2),"BULLISH REVERESAL",""))</f>
        <v>#DIV/0!</v>
      </c>
    </row>
    <row r="136" spans="1:13">
      <c r="A136" s="13"/>
      <c r="H136" s="2">
        <f t="shared" si="12"/>
        <v>0</v>
      </c>
      <c r="I136" s="14" t="e">
        <f t="shared" si="13"/>
        <v>#DIV/0!</v>
      </c>
      <c r="J136" s="2">
        <f t="shared" si="14"/>
        <v>0</v>
      </c>
      <c r="K136" s="14" t="e">
        <f t="shared" si="15"/>
        <v>#DIV/0!</v>
      </c>
      <c r="L136" s="7" t="e">
        <f t="shared" si="16"/>
        <v>#DIV/0!</v>
      </c>
      <c r="M136" s="2" t="e">
        <f t="shared" si="17"/>
        <v>#DIV/0!</v>
      </c>
    </row>
    <row r="137" spans="1:13">
      <c r="A137" s="13"/>
      <c r="H137" s="2">
        <f t="shared" si="12"/>
        <v>0</v>
      </c>
      <c r="I137" s="14" t="e">
        <f t="shared" si="13"/>
        <v>#DIV/0!</v>
      </c>
      <c r="J137" s="2">
        <f t="shared" si="14"/>
        <v>0</v>
      </c>
      <c r="K137" s="14" t="e">
        <f t="shared" si="15"/>
        <v>#DIV/0!</v>
      </c>
      <c r="L137" s="7" t="e">
        <f t="shared" si="16"/>
        <v>#DIV/0!</v>
      </c>
      <c r="M137" s="2" t="e">
        <f t="shared" si="17"/>
        <v>#DIV/0!</v>
      </c>
    </row>
    <row r="138" spans="1:13">
      <c r="A138" s="13"/>
      <c r="H138" s="2">
        <f t="shared" si="12"/>
        <v>0</v>
      </c>
      <c r="I138" s="14" t="e">
        <f t="shared" si="13"/>
        <v>#DIV/0!</v>
      </c>
      <c r="J138" s="2">
        <f t="shared" si="14"/>
        <v>0</v>
      </c>
      <c r="K138" s="14" t="e">
        <f t="shared" si="15"/>
        <v>#DIV/0!</v>
      </c>
      <c r="L138" s="7" t="e">
        <f t="shared" si="16"/>
        <v>#DIV/0!</v>
      </c>
      <c r="M138" s="2" t="e">
        <f t="shared" si="17"/>
        <v>#DIV/0!</v>
      </c>
    </row>
    <row r="139" spans="1:13">
      <c r="A139" s="13"/>
      <c r="H139" s="2">
        <f t="shared" si="12"/>
        <v>0</v>
      </c>
      <c r="I139" s="14" t="e">
        <f t="shared" si="13"/>
        <v>#DIV/0!</v>
      </c>
      <c r="J139" s="2">
        <f t="shared" si="14"/>
        <v>0</v>
      </c>
      <c r="K139" s="14" t="e">
        <f t="shared" si="15"/>
        <v>#DIV/0!</v>
      </c>
      <c r="L139" s="7" t="e">
        <f t="shared" si="16"/>
        <v>#DIV/0!</v>
      </c>
      <c r="M139" s="2" t="e">
        <f t="shared" si="17"/>
        <v>#DIV/0!</v>
      </c>
    </row>
    <row r="140" spans="1:13">
      <c r="A140" s="13"/>
      <c r="H140" s="2">
        <f t="shared" si="12"/>
        <v>0</v>
      </c>
      <c r="I140" s="14" t="e">
        <f t="shared" si="13"/>
        <v>#DIV/0!</v>
      </c>
      <c r="J140" s="2">
        <f t="shared" si="14"/>
        <v>0</v>
      </c>
      <c r="K140" s="14" t="e">
        <f t="shared" si="15"/>
        <v>#DIV/0!</v>
      </c>
      <c r="L140" s="7" t="e">
        <f t="shared" si="16"/>
        <v>#DIV/0!</v>
      </c>
      <c r="M140" s="2" t="e">
        <f t="shared" si="17"/>
        <v>#DIV/0!</v>
      </c>
    </row>
    <row r="141" spans="1:13">
      <c r="A141" s="13"/>
      <c r="H141" s="2">
        <f t="shared" si="12"/>
        <v>0</v>
      </c>
      <c r="I141" s="14" t="e">
        <f t="shared" si="13"/>
        <v>#DIV/0!</v>
      </c>
      <c r="J141" s="2">
        <f t="shared" si="14"/>
        <v>0</v>
      </c>
      <c r="K141" s="14" t="e">
        <f t="shared" si="15"/>
        <v>#DIV/0!</v>
      </c>
      <c r="L141" s="7" t="e">
        <f t="shared" si="16"/>
        <v>#DIV/0!</v>
      </c>
      <c r="M141" s="2" t="e">
        <f t="shared" si="17"/>
        <v>#DIV/0!</v>
      </c>
    </row>
    <row r="142" spans="1:13">
      <c r="A142" s="13"/>
      <c r="H142" s="2">
        <f t="shared" si="12"/>
        <v>0</v>
      </c>
      <c r="I142" s="14" t="e">
        <f t="shared" si="13"/>
        <v>#DIV/0!</v>
      </c>
      <c r="J142" s="2">
        <f t="shared" si="14"/>
        <v>0</v>
      </c>
      <c r="K142" s="14" t="e">
        <f t="shared" si="15"/>
        <v>#DIV/0!</v>
      </c>
      <c r="L142" s="7" t="e">
        <f t="shared" si="16"/>
        <v>#DIV/0!</v>
      </c>
      <c r="M142" s="2" t="e">
        <f t="shared" si="17"/>
        <v>#DIV/0!</v>
      </c>
    </row>
    <row r="143" spans="1:13">
      <c r="A143" s="13"/>
      <c r="H143" s="2">
        <f t="shared" si="12"/>
        <v>0</v>
      </c>
      <c r="I143" s="14" t="e">
        <f t="shared" si="13"/>
        <v>#DIV/0!</v>
      </c>
      <c r="J143" s="2">
        <f t="shared" si="14"/>
        <v>0</v>
      </c>
      <c r="K143" s="14" t="e">
        <f t="shared" si="15"/>
        <v>#DIV/0!</v>
      </c>
      <c r="L143" s="7" t="e">
        <f t="shared" si="16"/>
        <v>#DIV/0!</v>
      </c>
      <c r="M143" s="2" t="e">
        <f t="shared" si="17"/>
        <v>#DIV/0!</v>
      </c>
    </row>
    <row r="144" spans="1:13">
      <c r="A144" s="13"/>
      <c r="H144" s="2">
        <f t="shared" si="12"/>
        <v>0</v>
      </c>
      <c r="I144" s="14" t="e">
        <f t="shared" si="13"/>
        <v>#DIV/0!</v>
      </c>
      <c r="J144" s="2">
        <f t="shared" si="14"/>
        <v>0</v>
      </c>
      <c r="K144" s="14" t="e">
        <f t="shared" si="15"/>
        <v>#DIV/0!</v>
      </c>
      <c r="L144" s="7" t="e">
        <f t="shared" si="16"/>
        <v>#DIV/0!</v>
      </c>
      <c r="M144" s="2" t="e">
        <f t="shared" si="17"/>
        <v>#DIV/0!</v>
      </c>
    </row>
    <row r="145" spans="1:13">
      <c r="A145" s="13"/>
      <c r="H145" s="2">
        <f t="shared" si="12"/>
        <v>0</v>
      </c>
      <c r="I145" s="14" t="e">
        <f t="shared" si="13"/>
        <v>#DIV/0!</v>
      </c>
      <c r="J145" s="2">
        <f t="shared" si="14"/>
        <v>0</v>
      </c>
      <c r="K145" s="14" t="e">
        <f t="shared" si="15"/>
        <v>#DIV/0!</v>
      </c>
      <c r="L145" s="7" t="e">
        <f t="shared" si="16"/>
        <v>#DIV/0!</v>
      </c>
      <c r="M145" s="2" t="e">
        <f t="shared" si="17"/>
        <v>#DIV/0!</v>
      </c>
    </row>
    <row r="146" spans="1:13">
      <c r="A146" s="13"/>
      <c r="H146" s="2">
        <f t="shared" si="12"/>
        <v>0</v>
      </c>
      <c r="I146" s="14" t="e">
        <f t="shared" si="13"/>
        <v>#DIV/0!</v>
      </c>
      <c r="J146" s="2">
        <f t="shared" si="14"/>
        <v>0</v>
      </c>
      <c r="K146" s="14" t="e">
        <f t="shared" si="15"/>
        <v>#DIV/0!</v>
      </c>
      <c r="L146" s="7" t="e">
        <f t="shared" si="16"/>
        <v>#DIV/0!</v>
      </c>
      <c r="M146" s="2" t="e">
        <f t="shared" si="17"/>
        <v>#DIV/0!</v>
      </c>
    </row>
    <row r="147" spans="1:13">
      <c r="A147" s="13"/>
      <c r="H147" s="2">
        <f t="shared" si="12"/>
        <v>0</v>
      </c>
      <c r="I147" s="14" t="e">
        <f t="shared" si="13"/>
        <v>#DIV/0!</v>
      </c>
      <c r="J147" s="2">
        <f t="shared" si="14"/>
        <v>0</v>
      </c>
      <c r="K147" s="14" t="e">
        <f t="shared" si="15"/>
        <v>#DIV/0!</v>
      </c>
      <c r="L147" s="7" t="e">
        <f t="shared" si="16"/>
        <v>#DIV/0!</v>
      </c>
      <c r="M147" s="2" t="e">
        <f t="shared" si="17"/>
        <v>#DIV/0!</v>
      </c>
    </row>
    <row r="148" spans="1:13">
      <c r="A148" s="13"/>
      <c r="H148" s="2">
        <f t="shared" si="12"/>
        <v>0</v>
      </c>
      <c r="I148" s="14" t="e">
        <f t="shared" si="13"/>
        <v>#DIV/0!</v>
      </c>
      <c r="J148" s="2">
        <f t="shared" si="14"/>
        <v>0</v>
      </c>
      <c r="K148" s="14" t="e">
        <f t="shared" si="15"/>
        <v>#DIV/0!</v>
      </c>
      <c r="L148" s="7" t="e">
        <f t="shared" si="16"/>
        <v>#DIV/0!</v>
      </c>
      <c r="M148" s="2" t="e">
        <f t="shared" si="17"/>
        <v>#DIV/0!</v>
      </c>
    </row>
    <row r="149" spans="1:13">
      <c r="A149" s="13"/>
      <c r="H149" s="2">
        <f t="shared" si="12"/>
        <v>0</v>
      </c>
      <c r="I149" s="14" t="e">
        <f t="shared" si="13"/>
        <v>#DIV/0!</v>
      </c>
      <c r="J149" s="2">
        <f t="shared" si="14"/>
        <v>0</v>
      </c>
      <c r="K149" s="14" t="e">
        <f t="shared" si="15"/>
        <v>#DIV/0!</v>
      </c>
      <c r="L149" s="7" t="e">
        <f t="shared" si="16"/>
        <v>#DIV/0!</v>
      </c>
      <c r="M149" s="2" t="e">
        <f t="shared" si="17"/>
        <v>#DIV/0!</v>
      </c>
    </row>
    <row r="150" spans="1:13">
      <c r="A150" s="13"/>
      <c r="H150" s="2">
        <f t="shared" si="12"/>
        <v>0</v>
      </c>
      <c r="I150" s="14" t="e">
        <f t="shared" si="13"/>
        <v>#DIV/0!</v>
      </c>
      <c r="J150" s="2">
        <f t="shared" si="14"/>
        <v>0</v>
      </c>
      <c r="K150" s="14" t="e">
        <f t="shared" si="15"/>
        <v>#DIV/0!</v>
      </c>
      <c r="L150" s="7" t="e">
        <f t="shared" si="16"/>
        <v>#DIV/0!</v>
      </c>
      <c r="M150" s="2" t="e">
        <f t="shared" si="17"/>
        <v>#DIV/0!</v>
      </c>
    </row>
    <row r="151" spans="1:13">
      <c r="A151" s="13"/>
      <c r="H151" s="2">
        <f t="shared" si="12"/>
        <v>0</v>
      </c>
      <c r="I151" s="14" t="e">
        <f t="shared" si="13"/>
        <v>#DIV/0!</v>
      </c>
      <c r="J151" s="2">
        <f t="shared" si="14"/>
        <v>0</v>
      </c>
      <c r="K151" s="14" t="e">
        <f t="shared" si="15"/>
        <v>#DIV/0!</v>
      </c>
      <c r="L151" s="7" t="e">
        <f t="shared" si="16"/>
        <v>#DIV/0!</v>
      </c>
      <c r="M151" s="2" t="e">
        <f t="shared" si="17"/>
        <v>#DIV/0!</v>
      </c>
    </row>
    <row r="152" spans="1:13">
      <c r="A152" s="13"/>
      <c r="H152" s="2">
        <f t="shared" si="12"/>
        <v>0</v>
      </c>
      <c r="I152" s="14" t="e">
        <f t="shared" si="13"/>
        <v>#DIV/0!</v>
      </c>
      <c r="J152" s="2">
        <f t="shared" si="14"/>
        <v>0</v>
      </c>
      <c r="K152" s="14" t="e">
        <f t="shared" si="15"/>
        <v>#DIV/0!</v>
      </c>
      <c r="L152" s="7" t="e">
        <f t="shared" si="16"/>
        <v>#DIV/0!</v>
      </c>
      <c r="M152" s="2" t="e">
        <f t="shared" si="17"/>
        <v>#DIV/0!</v>
      </c>
    </row>
    <row r="153" spans="1:13">
      <c r="A153" s="13"/>
      <c r="H153" s="2">
        <f t="shared" si="12"/>
        <v>0</v>
      </c>
      <c r="I153" s="14" t="e">
        <f t="shared" si="13"/>
        <v>#DIV/0!</v>
      </c>
      <c r="J153" s="2">
        <f t="shared" si="14"/>
        <v>0</v>
      </c>
      <c r="K153" s="14" t="e">
        <f t="shared" si="15"/>
        <v>#DIV/0!</v>
      </c>
      <c r="L153" s="7" t="e">
        <f t="shared" si="16"/>
        <v>#DIV/0!</v>
      </c>
      <c r="M153" s="2" t="e">
        <f t="shared" si="17"/>
        <v>#DIV/0!</v>
      </c>
    </row>
    <row r="154" spans="1:13">
      <c r="A154" s="13"/>
      <c r="H154" s="2">
        <f t="shared" si="12"/>
        <v>0</v>
      </c>
      <c r="I154" s="14" t="e">
        <f t="shared" si="13"/>
        <v>#DIV/0!</v>
      </c>
      <c r="J154" s="2">
        <f t="shared" si="14"/>
        <v>0</v>
      </c>
      <c r="K154" s="14" t="e">
        <f t="shared" si="15"/>
        <v>#DIV/0!</v>
      </c>
      <c r="L154" s="7" t="e">
        <f t="shared" si="16"/>
        <v>#DIV/0!</v>
      </c>
      <c r="M154" s="2" t="e">
        <f t="shared" si="17"/>
        <v>#DIV/0!</v>
      </c>
    </row>
    <row r="155" spans="1:13">
      <c r="A155" s="13"/>
      <c r="H155" s="2">
        <f t="shared" si="12"/>
        <v>0</v>
      </c>
      <c r="I155" s="14" t="e">
        <f t="shared" si="13"/>
        <v>#DIV/0!</v>
      </c>
      <c r="J155" s="2">
        <f t="shared" si="14"/>
        <v>0</v>
      </c>
      <c r="K155" s="14" t="e">
        <f t="shared" si="15"/>
        <v>#DIV/0!</v>
      </c>
      <c r="L155" s="7" t="e">
        <f t="shared" si="16"/>
        <v>#DIV/0!</v>
      </c>
      <c r="M155" s="2" t="e">
        <f t="shared" si="17"/>
        <v>#DIV/0!</v>
      </c>
    </row>
    <row r="156" spans="1:13">
      <c r="A156" s="13"/>
      <c r="H156" s="2">
        <f t="shared" si="12"/>
        <v>0</v>
      </c>
      <c r="I156" s="14" t="e">
        <f t="shared" si="13"/>
        <v>#DIV/0!</v>
      </c>
      <c r="J156" s="2">
        <f t="shared" si="14"/>
        <v>0</v>
      </c>
      <c r="K156" s="14" t="e">
        <f t="shared" si="15"/>
        <v>#DIV/0!</v>
      </c>
      <c r="L156" s="7" t="e">
        <f t="shared" si="16"/>
        <v>#DIV/0!</v>
      </c>
      <c r="M156" s="2" t="e">
        <f t="shared" si="17"/>
        <v>#DIV/0!</v>
      </c>
    </row>
    <row r="157" spans="1:13">
      <c r="A157" s="13"/>
      <c r="H157" s="2">
        <f t="shared" si="12"/>
        <v>0</v>
      </c>
      <c r="I157" s="14" t="e">
        <f t="shared" si="13"/>
        <v>#DIV/0!</v>
      </c>
      <c r="J157" s="2">
        <f t="shared" si="14"/>
        <v>0</v>
      </c>
      <c r="K157" s="14" t="e">
        <f t="shared" si="15"/>
        <v>#DIV/0!</v>
      </c>
      <c r="L157" s="7" t="e">
        <f t="shared" si="16"/>
        <v>#DIV/0!</v>
      </c>
      <c r="M157" s="2" t="e">
        <f t="shared" si="17"/>
        <v>#DIV/0!</v>
      </c>
    </row>
    <row r="158" spans="1:13">
      <c r="A158" s="13"/>
      <c r="H158" s="2">
        <f t="shared" si="12"/>
        <v>0</v>
      </c>
      <c r="I158" s="14" t="e">
        <f t="shared" si="13"/>
        <v>#DIV/0!</v>
      </c>
      <c r="J158" s="2">
        <f t="shared" si="14"/>
        <v>0</v>
      </c>
      <c r="K158" s="14" t="e">
        <f t="shared" si="15"/>
        <v>#DIV/0!</v>
      </c>
      <c r="L158" s="7" t="e">
        <f t="shared" si="16"/>
        <v>#DIV/0!</v>
      </c>
      <c r="M158" s="2" t="e">
        <f t="shared" si="17"/>
        <v>#DIV/0!</v>
      </c>
    </row>
    <row r="159" spans="1:13">
      <c r="A159" s="13"/>
      <c r="H159" s="2">
        <f t="shared" si="12"/>
        <v>0</v>
      </c>
      <c r="I159" s="14" t="e">
        <f t="shared" si="13"/>
        <v>#DIV/0!</v>
      </c>
      <c r="J159" s="2">
        <f t="shared" si="14"/>
        <v>0</v>
      </c>
      <c r="K159" s="14" t="e">
        <f t="shared" si="15"/>
        <v>#DIV/0!</v>
      </c>
      <c r="L159" s="7" t="e">
        <f t="shared" si="16"/>
        <v>#DIV/0!</v>
      </c>
      <c r="M159" s="2" t="e">
        <f t="shared" si="17"/>
        <v>#DIV/0!</v>
      </c>
    </row>
    <row r="160" spans="1:13">
      <c r="A160" s="13"/>
      <c r="H160" s="2">
        <f t="shared" si="12"/>
        <v>0</v>
      </c>
      <c r="I160" s="14" t="e">
        <f t="shared" si="13"/>
        <v>#DIV/0!</v>
      </c>
      <c r="J160" s="2">
        <f t="shared" si="14"/>
        <v>0</v>
      </c>
      <c r="K160" s="14" t="e">
        <f t="shared" si="15"/>
        <v>#DIV/0!</v>
      </c>
      <c r="L160" s="7" t="e">
        <f t="shared" si="16"/>
        <v>#DIV/0!</v>
      </c>
      <c r="M160" s="2" t="e">
        <f t="shared" si="17"/>
        <v>#DIV/0!</v>
      </c>
    </row>
    <row r="161" spans="1:13">
      <c r="A161" s="13"/>
      <c r="H161" s="2">
        <f t="shared" si="12"/>
        <v>0</v>
      </c>
      <c r="I161" s="14" t="e">
        <f t="shared" si="13"/>
        <v>#DIV/0!</v>
      </c>
      <c r="J161" s="2">
        <f t="shared" si="14"/>
        <v>0</v>
      </c>
      <c r="K161" s="14" t="e">
        <f t="shared" si="15"/>
        <v>#DIV/0!</v>
      </c>
      <c r="L161" s="7" t="e">
        <f t="shared" si="16"/>
        <v>#DIV/0!</v>
      </c>
      <c r="M161" s="2" t="e">
        <f t="shared" si="17"/>
        <v>#DIV/0!</v>
      </c>
    </row>
    <row r="162" spans="1:13">
      <c r="A162" s="13"/>
      <c r="H162" s="2">
        <f t="shared" si="12"/>
        <v>0</v>
      </c>
      <c r="I162" s="14" t="e">
        <f t="shared" si="13"/>
        <v>#DIV/0!</v>
      </c>
      <c r="J162" s="2">
        <f t="shared" si="14"/>
        <v>0</v>
      </c>
      <c r="K162" s="14" t="e">
        <f t="shared" si="15"/>
        <v>#DIV/0!</v>
      </c>
      <c r="L162" s="7" t="e">
        <f t="shared" si="16"/>
        <v>#DIV/0!</v>
      </c>
      <c r="M162" s="2" t="e">
        <f t="shared" si="17"/>
        <v>#DIV/0!</v>
      </c>
    </row>
    <row r="163" spans="1:13">
      <c r="A163" s="13"/>
      <c r="H163" s="2">
        <f t="shared" si="12"/>
        <v>0</v>
      </c>
      <c r="I163" s="14" t="e">
        <f t="shared" si="13"/>
        <v>#DIV/0!</v>
      </c>
      <c r="J163" s="2">
        <f t="shared" si="14"/>
        <v>0</v>
      </c>
      <c r="K163" s="14" t="e">
        <f t="shared" si="15"/>
        <v>#DIV/0!</v>
      </c>
      <c r="L163" s="7" t="e">
        <f t="shared" si="16"/>
        <v>#DIV/0!</v>
      </c>
      <c r="M163" s="2" t="e">
        <f t="shared" si="17"/>
        <v>#DIV/0!</v>
      </c>
    </row>
    <row r="164" spans="1:13">
      <c r="A164" s="13"/>
      <c r="H164" s="2">
        <f t="shared" si="12"/>
        <v>0</v>
      </c>
      <c r="I164" s="14" t="e">
        <f t="shared" si="13"/>
        <v>#DIV/0!</v>
      </c>
      <c r="J164" s="2">
        <f t="shared" si="14"/>
        <v>0</v>
      </c>
      <c r="K164" s="14" t="e">
        <f t="shared" si="15"/>
        <v>#DIV/0!</v>
      </c>
      <c r="L164" s="7" t="e">
        <f t="shared" si="16"/>
        <v>#DIV/0!</v>
      </c>
      <c r="M164" s="2" t="e">
        <f t="shared" si="17"/>
        <v>#DIV/0!</v>
      </c>
    </row>
    <row r="165" spans="1:13">
      <c r="A165" s="13"/>
      <c r="H165" s="2">
        <f t="shared" si="12"/>
        <v>0</v>
      </c>
      <c r="I165" s="14" t="e">
        <f t="shared" si="13"/>
        <v>#DIV/0!</v>
      </c>
      <c r="J165" s="2">
        <f t="shared" si="14"/>
        <v>0</v>
      </c>
      <c r="K165" s="14" t="e">
        <f t="shared" si="15"/>
        <v>#DIV/0!</v>
      </c>
      <c r="L165" s="7" t="e">
        <f t="shared" si="16"/>
        <v>#DIV/0!</v>
      </c>
      <c r="M165" s="2" t="e">
        <f t="shared" si="17"/>
        <v>#DIV/0!</v>
      </c>
    </row>
    <row r="166" spans="1:13">
      <c r="A166" s="13"/>
      <c r="H166" s="2">
        <f t="shared" si="12"/>
        <v>0</v>
      </c>
      <c r="I166" s="14" t="e">
        <f t="shared" si="13"/>
        <v>#DIV/0!</v>
      </c>
      <c r="J166" s="2">
        <f t="shared" si="14"/>
        <v>0</v>
      </c>
      <c r="K166" s="14" t="e">
        <f t="shared" si="15"/>
        <v>#DIV/0!</v>
      </c>
      <c r="L166" s="7" t="e">
        <f t="shared" si="16"/>
        <v>#DIV/0!</v>
      </c>
      <c r="M166" s="2" t="e">
        <f t="shared" si="17"/>
        <v>#DIV/0!</v>
      </c>
    </row>
    <row r="167" spans="1:13">
      <c r="A167" s="13"/>
      <c r="H167" s="2">
        <f t="shared" si="12"/>
        <v>0</v>
      </c>
      <c r="I167" s="14" t="e">
        <f t="shared" si="13"/>
        <v>#DIV/0!</v>
      </c>
      <c r="J167" s="2">
        <f t="shared" si="14"/>
        <v>0</v>
      </c>
      <c r="K167" s="14" t="e">
        <f t="shared" si="15"/>
        <v>#DIV/0!</v>
      </c>
      <c r="L167" s="7" t="e">
        <f t="shared" si="16"/>
        <v>#DIV/0!</v>
      </c>
      <c r="M167" s="2" t="e">
        <f t="shared" si="17"/>
        <v>#DIV/0!</v>
      </c>
    </row>
    <row r="168" spans="1:13">
      <c r="A168" s="13"/>
      <c r="H168" s="2">
        <f t="shared" si="12"/>
        <v>0</v>
      </c>
      <c r="I168" s="14" t="e">
        <f t="shared" si="13"/>
        <v>#DIV/0!</v>
      </c>
      <c r="J168" s="2">
        <f t="shared" si="14"/>
        <v>0</v>
      </c>
      <c r="K168" s="14" t="e">
        <f t="shared" si="15"/>
        <v>#DIV/0!</v>
      </c>
      <c r="L168" s="7" t="e">
        <f t="shared" si="16"/>
        <v>#DIV/0!</v>
      </c>
      <c r="M168" s="2" t="e">
        <f t="shared" si="17"/>
        <v>#DIV/0!</v>
      </c>
    </row>
    <row r="169" spans="1:13">
      <c r="A169" s="13"/>
      <c r="H169" s="2">
        <f t="shared" si="12"/>
        <v>0</v>
      </c>
      <c r="I169" s="14" t="e">
        <f t="shared" si="13"/>
        <v>#DIV/0!</v>
      </c>
      <c r="J169" s="2">
        <f t="shared" si="14"/>
        <v>0</v>
      </c>
      <c r="K169" s="14" t="e">
        <f t="shared" si="15"/>
        <v>#DIV/0!</v>
      </c>
      <c r="L169" s="7" t="e">
        <f t="shared" si="16"/>
        <v>#DIV/0!</v>
      </c>
      <c r="M169" s="2" t="e">
        <f t="shared" si="17"/>
        <v>#DIV/0!</v>
      </c>
    </row>
    <row r="170" spans="1:13">
      <c r="A170" s="13"/>
      <c r="H170" s="2">
        <f t="shared" si="12"/>
        <v>0</v>
      </c>
      <c r="I170" s="14" t="e">
        <f t="shared" si="13"/>
        <v>#DIV/0!</v>
      </c>
      <c r="J170" s="2">
        <f t="shared" si="14"/>
        <v>0</v>
      </c>
      <c r="K170" s="14" t="e">
        <f t="shared" si="15"/>
        <v>#DIV/0!</v>
      </c>
      <c r="L170" s="7" t="e">
        <f t="shared" si="16"/>
        <v>#DIV/0!</v>
      </c>
      <c r="M170" s="2" t="e">
        <f t="shared" si="17"/>
        <v>#DIV/0!</v>
      </c>
    </row>
    <row r="171" spans="1:13">
      <c r="A171" s="13"/>
      <c r="H171" s="2">
        <f t="shared" si="12"/>
        <v>0</v>
      </c>
      <c r="I171" s="14" t="e">
        <f t="shared" si="13"/>
        <v>#DIV/0!</v>
      </c>
      <c r="J171" s="2">
        <f t="shared" si="14"/>
        <v>0</v>
      </c>
      <c r="K171" s="14" t="e">
        <f t="shared" si="15"/>
        <v>#DIV/0!</v>
      </c>
      <c r="L171" s="7" t="e">
        <f t="shared" si="16"/>
        <v>#DIV/0!</v>
      </c>
      <c r="M171" s="2" t="e">
        <f t="shared" si="17"/>
        <v>#DIV/0!</v>
      </c>
    </row>
    <row r="172" spans="1:13">
      <c r="A172" s="13"/>
      <c r="H172" s="2">
        <f t="shared" si="12"/>
        <v>0</v>
      </c>
      <c r="I172" s="14" t="e">
        <f t="shared" si="13"/>
        <v>#DIV/0!</v>
      </c>
      <c r="J172" s="2">
        <f t="shared" si="14"/>
        <v>0</v>
      </c>
      <c r="K172" s="14" t="e">
        <f t="shared" si="15"/>
        <v>#DIV/0!</v>
      </c>
      <c r="L172" s="7" t="e">
        <f t="shared" si="16"/>
        <v>#DIV/0!</v>
      </c>
      <c r="M172" s="2" t="e">
        <f t="shared" si="17"/>
        <v>#DIV/0!</v>
      </c>
    </row>
    <row r="173" spans="1:13">
      <c r="A173" s="13"/>
      <c r="H173" s="2">
        <f t="shared" si="12"/>
        <v>0</v>
      </c>
      <c r="I173" s="14" t="e">
        <f t="shared" si="13"/>
        <v>#DIV/0!</v>
      </c>
      <c r="J173" s="2">
        <f t="shared" si="14"/>
        <v>0</v>
      </c>
      <c r="K173" s="14" t="e">
        <f t="shared" si="15"/>
        <v>#DIV/0!</v>
      </c>
      <c r="L173" s="7" t="e">
        <f t="shared" si="16"/>
        <v>#DIV/0!</v>
      </c>
      <c r="M173" s="2" t="e">
        <f t="shared" si="17"/>
        <v>#DIV/0!</v>
      </c>
    </row>
    <row r="174" spans="1:13">
      <c r="A174" s="13"/>
      <c r="H174" s="2">
        <f t="shared" si="12"/>
        <v>0</v>
      </c>
      <c r="I174" s="14" t="e">
        <f t="shared" si="13"/>
        <v>#DIV/0!</v>
      </c>
      <c r="J174" s="2">
        <f t="shared" si="14"/>
        <v>0</v>
      </c>
      <c r="K174" s="14" t="e">
        <f t="shared" si="15"/>
        <v>#DIV/0!</v>
      </c>
      <c r="L174" s="7" t="e">
        <f t="shared" si="16"/>
        <v>#DIV/0!</v>
      </c>
      <c r="M174" s="2" t="e">
        <f t="shared" si="17"/>
        <v>#DIV/0!</v>
      </c>
    </row>
    <row r="175" spans="1:13">
      <c r="A175" s="13"/>
      <c r="H175" s="2">
        <f t="shared" si="12"/>
        <v>0</v>
      </c>
      <c r="I175" s="14" t="e">
        <f t="shared" si="13"/>
        <v>#DIV/0!</v>
      </c>
      <c r="J175" s="2">
        <f t="shared" si="14"/>
        <v>0</v>
      </c>
      <c r="K175" s="14" t="e">
        <f t="shared" si="15"/>
        <v>#DIV/0!</v>
      </c>
      <c r="L175" s="7" t="e">
        <f t="shared" si="16"/>
        <v>#DIV/0!</v>
      </c>
      <c r="M175" s="2" t="e">
        <f t="shared" si="17"/>
        <v>#DIV/0!</v>
      </c>
    </row>
    <row r="176" spans="1:13">
      <c r="A176" s="13"/>
      <c r="H176" s="2">
        <f t="shared" si="12"/>
        <v>0</v>
      </c>
      <c r="I176" s="14" t="e">
        <f t="shared" si="13"/>
        <v>#DIV/0!</v>
      </c>
      <c r="J176" s="2">
        <f t="shared" si="14"/>
        <v>0</v>
      </c>
      <c r="K176" s="14" t="e">
        <f t="shared" si="15"/>
        <v>#DIV/0!</v>
      </c>
      <c r="L176" s="7" t="e">
        <f t="shared" si="16"/>
        <v>#DIV/0!</v>
      </c>
      <c r="M176" s="2" t="e">
        <f t="shared" si="17"/>
        <v>#DIV/0!</v>
      </c>
    </row>
    <row r="177" spans="1:13">
      <c r="A177" s="13"/>
      <c r="H177" s="2">
        <f t="shared" si="12"/>
        <v>0</v>
      </c>
      <c r="I177" s="14" t="e">
        <f t="shared" si="13"/>
        <v>#DIV/0!</v>
      </c>
      <c r="J177" s="2">
        <f t="shared" si="14"/>
        <v>0</v>
      </c>
      <c r="K177" s="14" t="e">
        <f t="shared" si="15"/>
        <v>#DIV/0!</v>
      </c>
      <c r="L177" s="7" t="e">
        <f t="shared" si="16"/>
        <v>#DIV/0!</v>
      </c>
      <c r="M177" s="2" t="e">
        <f t="shared" si="17"/>
        <v>#DIV/0!</v>
      </c>
    </row>
    <row r="178" spans="1:13">
      <c r="A178" s="13"/>
      <c r="H178" s="2">
        <f t="shared" si="12"/>
        <v>0</v>
      </c>
      <c r="I178" s="14" t="e">
        <f t="shared" si="13"/>
        <v>#DIV/0!</v>
      </c>
      <c r="J178" s="2">
        <f t="shared" si="14"/>
        <v>0</v>
      </c>
      <c r="K178" s="14" t="e">
        <f t="shared" si="15"/>
        <v>#DIV/0!</v>
      </c>
      <c r="L178" s="7" t="e">
        <f t="shared" si="16"/>
        <v>#DIV/0!</v>
      </c>
      <c r="M178" s="2" t="e">
        <f t="shared" si="17"/>
        <v>#DIV/0!</v>
      </c>
    </row>
    <row r="179" spans="1:13">
      <c r="A179" s="13"/>
      <c r="H179" s="2">
        <f t="shared" si="12"/>
        <v>0</v>
      </c>
      <c r="I179" s="14" t="e">
        <f t="shared" si="13"/>
        <v>#DIV/0!</v>
      </c>
      <c r="J179" s="2">
        <f t="shared" si="14"/>
        <v>0</v>
      </c>
      <c r="K179" s="14" t="e">
        <f t="shared" si="15"/>
        <v>#DIV/0!</v>
      </c>
      <c r="L179" s="7" t="e">
        <f t="shared" si="16"/>
        <v>#DIV/0!</v>
      </c>
      <c r="M179" s="2" t="e">
        <f t="shared" si="17"/>
        <v>#DIV/0!</v>
      </c>
    </row>
    <row r="180" spans="1:13">
      <c r="A180" s="13"/>
      <c r="H180" s="2">
        <f t="shared" si="12"/>
        <v>0</v>
      </c>
      <c r="I180" s="14" t="e">
        <f t="shared" si="13"/>
        <v>#DIV/0!</v>
      </c>
      <c r="J180" s="2">
        <f t="shared" si="14"/>
        <v>0</v>
      </c>
      <c r="K180" s="14" t="e">
        <f t="shared" si="15"/>
        <v>#DIV/0!</v>
      </c>
      <c r="L180" s="7" t="e">
        <f t="shared" si="16"/>
        <v>#DIV/0!</v>
      </c>
      <c r="M180" s="2" t="e">
        <f t="shared" si="17"/>
        <v>#DIV/0!</v>
      </c>
    </row>
    <row r="181" spans="1:13">
      <c r="A181" s="13"/>
      <c r="H181" s="2">
        <f t="shared" si="12"/>
        <v>0</v>
      </c>
      <c r="I181" s="14" t="e">
        <f t="shared" si="13"/>
        <v>#DIV/0!</v>
      </c>
      <c r="J181" s="2">
        <f t="shared" si="14"/>
        <v>0</v>
      </c>
      <c r="K181" s="14" t="e">
        <f t="shared" si="15"/>
        <v>#DIV/0!</v>
      </c>
      <c r="L181" s="7" t="e">
        <f t="shared" si="16"/>
        <v>#DIV/0!</v>
      </c>
      <c r="M181" s="2" t="e">
        <f t="shared" si="17"/>
        <v>#DIV/0!</v>
      </c>
    </row>
    <row r="182" spans="1:13">
      <c r="A182" s="13"/>
      <c r="H182" s="2">
        <f t="shared" si="12"/>
        <v>0</v>
      </c>
      <c r="I182" s="14" t="e">
        <f t="shared" si="13"/>
        <v>#DIV/0!</v>
      </c>
      <c r="J182" s="2">
        <f t="shared" si="14"/>
        <v>0</v>
      </c>
      <c r="K182" s="14" t="e">
        <f t="shared" si="15"/>
        <v>#DIV/0!</v>
      </c>
      <c r="L182" s="7" t="e">
        <f t="shared" si="16"/>
        <v>#DIV/0!</v>
      </c>
      <c r="M182" s="2" t="e">
        <f t="shared" si="17"/>
        <v>#DIV/0!</v>
      </c>
    </row>
    <row r="183" spans="1:13">
      <c r="A183" s="13"/>
      <c r="H183" s="2">
        <f t="shared" si="12"/>
        <v>0</v>
      </c>
      <c r="I183" s="14" t="e">
        <f t="shared" si="13"/>
        <v>#DIV/0!</v>
      </c>
      <c r="J183" s="2">
        <f t="shared" si="14"/>
        <v>0</v>
      </c>
      <c r="K183" s="14" t="e">
        <f t="shared" si="15"/>
        <v>#DIV/0!</v>
      </c>
      <c r="L183" s="7" t="e">
        <f t="shared" si="16"/>
        <v>#DIV/0!</v>
      </c>
      <c r="M183" s="2" t="e">
        <f t="shared" si="17"/>
        <v>#DIV/0!</v>
      </c>
    </row>
    <row r="184" spans="1:13">
      <c r="A184" s="13"/>
      <c r="H184" s="2">
        <f t="shared" si="12"/>
        <v>0</v>
      </c>
      <c r="I184" s="14" t="e">
        <f t="shared" si="13"/>
        <v>#DIV/0!</v>
      </c>
      <c r="J184" s="2">
        <f t="shared" si="14"/>
        <v>0</v>
      </c>
      <c r="K184" s="14" t="e">
        <f t="shared" si="15"/>
        <v>#DIV/0!</v>
      </c>
      <c r="L184" s="7" t="e">
        <f t="shared" si="16"/>
        <v>#DIV/0!</v>
      </c>
      <c r="M184" s="2" t="e">
        <f t="shared" si="17"/>
        <v>#DIV/0!</v>
      </c>
    </row>
    <row r="185" spans="1:13">
      <c r="A185" s="13"/>
      <c r="H185" s="2">
        <f t="shared" si="12"/>
        <v>0</v>
      </c>
      <c r="I185" s="14" t="e">
        <f t="shared" si="13"/>
        <v>#DIV/0!</v>
      </c>
      <c r="J185" s="2">
        <f t="shared" si="14"/>
        <v>0</v>
      </c>
      <c r="K185" s="14" t="e">
        <f t="shared" si="15"/>
        <v>#DIV/0!</v>
      </c>
      <c r="L185" s="7" t="e">
        <f t="shared" si="16"/>
        <v>#DIV/0!</v>
      </c>
      <c r="M185" s="2" t="e">
        <f t="shared" si="17"/>
        <v>#DIV/0!</v>
      </c>
    </row>
    <row r="186" spans="1:13">
      <c r="A186" s="13"/>
      <c r="H186" s="2">
        <f t="shared" si="12"/>
        <v>0</v>
      </c>
      <c r="I186" s="14" t="e">
        <f t="shared" si="13"/>
        <v>#DIV/0!</v>
      </c>
      <c r="J186" s="2">
        <f t="shared" si="14"/>
        <v>0</v>
      </c>
      <c r="K186" s="14" t="e">
        <f t="shared" si="15"/>
        <v>#DIV/0!</v>
      </c>
      <c r="L186" s="7" t="e">
        <f t="shared" si="16"/>
        <v>#DIV/0!</v>
      </c>
      <c r="M186" s="2" t="e">
        <f t="shared" si="17"/>
        <v>#DIV/0!</v>
      </c>
    </row>
    <row r="187" spans="1:13">
      <c r="A187" s="13"/>
      <c r="H187" s="2">
        <f t="shared" si="12"/>
        <v>0</v>
      </c>
      <c r="I187" s="14" t="e">
        <f t="shared" si="13"/>
        <v>#DIV/0!</v>
      </c>
      <c r="J187" s="2">
        <f t="shared" si="14"/>
        <v>0</v>
      </c>
      <c r="K187" s="14" t="e">
        <f t="shared" si="15"/>
        <v>#DIV/0!</v>
      </c>
      <c r="L187" s="7" t="e">
        <f t="shared" si="16"/>
        <v>#DIV/0!</v>
      </c>
      <c r="M187" s="2" t="e">
        <f t="shared" si="17"/>
        <v>#DIV/0!</v>
      </c>
    </row>
    <row r="188" spans="1:13">
      <c r="A188" s="13"/>
      <c r="H188" s="2">
        <f t="shared" si="12"/>
        <v>0</v>
      </c>
      <c r="I188" s="14" t="e">
        <f t="shared" si="13"/>
        <v>#DIV/0!</v>
      </c>
      <c r="J188" s="2">
        <f t="shared" si="14"/>
        <v>0</v>
      </c>
      <c r="K188" s="14" t="e">
        <f t="shared" si="15"/>
        <v>#DIV/0!</v>
      </c>
      <c r="L188" s="7" t="e">
        <f t="shared" si="16"/>
        <v>#DIV/0!</v>
      </c>
      <c r="M188" s="2" t="e">
        <f t="shared" si="17"/>
        <v>#DIV/0!</v>
      </c>
    </row>
    <row r="189" spans="1:13">
      <c r="A189" s="13"/>
      <c r="H189" s="2">
        <f t="shared" si="12"/>
        <v>0</v>
      </c>
      <c r="I189" s="14" t="e">
        <f t="shared" si="13"/>
        <v>#DIV/0!</v>
      </c>
      <c r="J189" s="2">
        <f t="shared" si="14"/>
        <v>0</v>
      </c>
      <c r="K189" s="14" t="e">
        <f t="shared" si="15"/>
        <v>#DIV/0!</v>
      </c>
      <c r="L189" s="7" t="e">
        <f t="shared" si="16"/>
        <v>#DIV/0!</v>
      </c>
      <c r="M189" s="2" t="e">
        <f t="shared" si="17"/>
        <v>#DIV/0!</v>
      </c>
    </row>
    <row r="190" spans="1:13">
      <c r="A190" s="13"/>
      <c r="H190" s="2">
        <f t="shared" si="12"/>
        <v>0</v>
      </c>
      <c r="I190" s="14" t="e">
        <f t="shared" si="13"/>
        <v>#DIV/0!</v>
      </c>
      <c r="J190" s="2">
        <f t="shared" si="14"/>
        <v>0</v>
      </c>
      <c r="K190" s="14" t="e">
        <f t="shared" si="15"/>
        <v>#DIV/0!</v>
      </c>
      <c r="L190" s="7" t="e">
        <f t="shared" si="16"/>
        <v>#DIV/0!</v>
      </c>
      <c r="M190" s="2" t="e">
        <f t="shared" si="17"/>
        <v>#DIV/0!</v>
      </c>
    </row>
    <row r="191" spans="1:13">
      <c r="H191" s="2">
        <f t="shared" si="12"/>
        <v>0</v>
      </c>
      <c r="I191" s="14" t="e">
        <f t="shared" si="13"/>
        <v>#DIV/0!</v>
      </c>
      <c r="J191" s="2">
        <f t="shared" si="14"/>
        <v>0</v>
      </c>
      <c r="K191" s="14" t="e">
        <f t="shared" si="15"/>
        <v>#DIV/0!</v>
      </c>
      <c r="L191" s="7" t="e">
        <f t="shared" si="16"/>
        <v>#DIV/0!</v>
      </c>
      <c r="M191" s="2" t="e">
        <f t="shared" si="17"/>
        <v>#DIV/0!</v>
      </c>
    </row>
    <row r="192" spans="1:13">
      <c r="H192" s="2">
        <f t="shared" si="12"/>
        <v>0</v>
      </c>
      <c r="I192" s="14" t="e">
        <f t="shared" si="13"/>
        <v>#DIV/0!</v>
      </c>
      <c r="J192" s="2">
        <f t="shared" si="14"/>
        <v>0</v>
      </c>
      <c r="K192" s="14" t="e">
        <f t="shared" si="15"/>
        <v>#DIV/0!</v>
      </c>
      <c r="L192" s="7" t="e">
        <f t="shared" si="16"/>
        <v>#DIV/0!</v>
      </c>
      <c r="M192" s="2" t="e">
        <f t="shared" si="17"/>
        <v>#DIV/0!</v>
      </c>
    </row>
    <row r="193" spans="8:13">
      <c r="H193" s="2">
        <f t="shared" si="12"/>
        <v>0</v>
      </c>
      <c r="I193" s="14" t="e">
        <f t="shared" si="13"/>
        <v>#DIV/0!</v>
      </c>
      <c r="J193" s="2">
        <f t="shared" si="14"/>
        <v>0</v>
      </c>
      <c r="K193" s="14" t="e">
        <f t="shared" si="15"/>
        <v>#DIV/0!</v>
      </c>
      <c r="L193" s="7" t="e">
        <f t="shared" si="16"/>
        <v>#DIV/0!</v>
      </c>
      <c r="M193" s="2" t="e">
        <f t="shared" si="17"/>
        <v>#DIV/0!</v>
      </c>
    </row>
    <row r="194" spans="8:13">
      <c r="H194" s="2">
        <f t="shared" si="12"/>
        <v>0</v>
      </c>
      <c r="I194" s="14" t="e">
        <f t="shared" si="13"/>
        <v>#DIV/0!</v>
      </c>
      <c r="J194" s="2">
        <f t="shared" si="14"/>
        <v>0</v>
      </c>
      <c r="K194" s="14" t="e">
        <f t="shared" si="15"/>
        <v>#DIV/0!</v>
      </c>
      <c r="L194" s="7" t="e">
        <f t="shared" si="16"/>
        <v>#DIV/0!</v>
      </c>
      <c r="M194" s="2" t="e">
        <f t="shared" si="17"/>
        <v>#DIV/0!</v>
      </c>
    </row>
    <row r="195" spans="8:13">
      <c r="H195" s="2">
        <f t="shared" si="12"/>
        <v>0</v>
      </c>
      <c r="I195" s="14" t="e">
        <f t="shared" si="13"/>
        <v>#DIV/0!</v>
      </c>
      <c r="J195" s="2">
        <f t="shared" si="14"/>
        <v>0</v>
      </c>
      <c r="K195" s="14" t="e">
        <f t="shared" si="15"/>
        <v>#DIV/0!</v>
      </c>
      <c r="L195" s="7" t="e">
        <f t="shared" si="16"/>
        <v>#DIV/0!</v>
      </c>
      <c r="M195" s="2" t="e">
        <f t="shared" si="17"/>
        <v>#DIV/0!</v>
      </c>
    </row>
    <row r="196" spans="8:13">
      <c r="H196" s="2">
        <f t="shared" si="12"/>
        <v>0</v>
      </c>
      <c r="I196" s="14" t="e">
        <f t="shared" si="13"/>
        <v>#DIV/0!</v>
      </c>
      <c r="J196" s="2">
        <f t="shared" si="14"/>
        <v>0</v>
      </c>
      <c r="K196" s="14" t="e">
        <f t="shared" si="15"/>
        <v>#DIV/0!</v>
      </c>
      <c r="L196" s="7" t="e">
        <f t="shared" si="16"/>
        <v>#DIV/0!</v>
      </c>
      <c r="M196" s="2" t="e">
        <f t="shared" si="17"/>
        <v>#DIV/0!</v>
      </c>
    </row>
    <row r="197" spans="8:13">
      <c r="H197" s="2">
        <f t="shared" si="12"/>
        <v>0</v>
      </c>
      <c r="I197" s="14" t="e">
        <f t="shared" si="13"/>
        <v>#DIV/0!</v>
      </c>
      <c r="J197" s="2">
        <f t="shared" si="14"/>
        <v>0</v>
      </c>
      <c r="K197" s="14" t="e">
        <f t="shared" si="15"/>
        <v>#DIV/0!</v>
      </c>
      <c r="L197" s="7" t="e">
        <f t="shared" si="16"/>
        <v>#DIV/0!</v>
      </c>
      <c r="M197" s="2" t="e">
        <f t="shared" si="17"/>
        <v>#DIV/0!</v>
      </c>
    </row>
    <row r="198" spans="8:13">
      <c r="H198" s="2">
        <f t="shared" ref="H198:H261" si="18">F198-F197</f>
        <v>0</v>
      </c>
      <c r="I198" s="14" t="e">
        <f t="shared" ref="I198:I261" si="19">H198/F197</f>
        <v>#DIV/0!</v>
      </c>
      <c r="J198" s="2">
        <f t="shared" ref="J198:J261" si="20">G198-G197</f>
        <v>0</v>
      </c>
      <c r="K198" s="14" t="e">
        <f t="shared" ref="K198:K261" si="21">J198/G197</f>
        <v>#DIV/0!</v>
      </c>
      <c r="L198" s="7" t="e">
        <f t="shared" si="16"/>
        <v>#DIV/0!</v>
      </c>
      <c r="M198" s="2" t="e">
        <f t="shared" si="17"/>
        <v>#DIV/0!</v>
      </c>
    </row>
    <row r="199" spans="8:13">
      <c r="H199" s="2">
        <f t="shared" si="18"/>
        <v>0</v>
      </c>
      <c r="I199" s="14" t="e">
        <f t="shared" si="19"/>
        <v>#DIV/0!</v>
      </c>
      <c r="J199" s="2">
        <f t="shared" si="20"/>
        <v>0</v>
      </c>
      <c r="K199" s="14" t="e">
        <f t="shared" si="21"/>
        <v>#DIV/0!</v>
      </c>
      <c r="L199" s="7" t="e">
        <f t="shared" ref="L199:L262" si="22">IF(AND(E199&gt;$T$4,I199&gt;$N$1),"BEARISH",IF(AND(E199&lt;$T$3,I199&gt;$N$1),"BULLISH",""))</f>
        <v>#DIV/0!</v>
      </c>
      <c r="M199" s="2" t="e">
        <f t="shared" ref="M199:M262" si="23">IF(AND(E199&gt;$T$3,E198&lt;$T$44,I199&gt;$N$2),"BEARISH REVERESAL",IF(AND(E199&lt;$T$4,E198&gt;$T$3,I199&gt;$N$2),"BULLISH REVERESAL",""))</f>
        <v>#DIV/0!</v>
      </c>
    </row>
    <row r="200" spans="8:13">
      <c r="H200" s="2">
        <f t="shared" si="18"/>
        <v>0</v>
      </c>
      <c r="I200" s="14" t="e">
        <f t="shared" si="19"/>
        <v>#DIV/0!</v>
      </c>
      <c r="J200" s="2">
        <f t="shared" si="20"/>
        <v>0</v>
      </c>
      <c r="K200" s="14" t="e">
        <f t="shared" si="21"/>
        <v>#DIV/0!</v>
      </c>
      <c r="L200" s="7" t="e">
        <f t="shared" si="22"/>
        <v>#DIV/0!</v>
      </c>
      <c r="M200" s="2" t="e">
        <f t="shared" si="23"/>
        <v>#DIV/0!</v>
      </c>
    </row>
    <row r="201" spans="8:13">
      <c r="H201" s="2">
        <f t="shared" si="18"/>
        <v>0</v>
      </c>
      <c r="I201" s="14" t="e">
        <f t="shared" si="19"/>
        <v>#DIV/0!</v>
      </c>
      <c r="J201" s="2">
        <f t="shared" si="20"/>
        <v>0</v>
      </c>
      <c r="K201" s="14" t="e">
        <f t="shared" si="21"/>
        <v>#DIV/0!</v>
      </c>
      <c r="L201" s="7" t="e">
        <f t="shared" si="22"/>
        <v>#DIV/0!</v>
      </c>
      <c r="M201" s="2" t="e">
        <f t="shared" si="23"/>
        <v>#DIV/0!</v>
      </c>
    </row>
    <row r="202" spans="8:13">
      <c r="H202" s="2">
        <f t="shared" si="18"/>
        <v>0</v>
      </c>
      <c r="I202" s="14" t="e">
        <f t="shared" si="19"/>
        <v>#DIV/0!</v>
      </c>
      <c r="J202" s="2">
        <f t="shared" si="20"/>
        <v>0</v>
      </c>
      <c r="K202" s="14" t="e">
        <f t="shared" si="21"/>
        <v>#DIV/0!</v>
      </c>
      <c r="L202" s="7" t="e">
        <f t="shared" si="22"/>
        <v>#DIV/0!</v>
      </c>
      <c r="M202" s="2" t="e">
        <f t="shared" si="23"/>
        <v>#DIV/0!</v>
      </c>
    </row>
    <row r="203" spans="8:13">
      <c r="H203" s="2">
        <f t="shared" si="18"/>
        <v>0</v>
      </c>
      <c r="I203" s="14" t="e">
        <f t="shared" si="19"/>
        <v>#DIV/0!</v>
      </c>
      <c r="J203" s="2">
        <f t="shared" si="20"/>
        <v>0</v>
      </c>
      <c r="K203" s="14" t="e">
        <f t="shared" si="21"/>
        <v>#DIV/0!</v>
      </c>
      <c r="L203" s="7" t="e">
        <f t="shared" si="22"/>
        <v>#DIV/0!</v>
      </c>
      <c r="M203" s="2" t="e">
        <f t="shared" si="23"/>
        <v>#DIV/0!</v>
      </c>
    </row>
    <row r="204" spans="8:13">
      <c r="H204" s="2">
        <f t="shared" si="18"/>
        <v>0</v>
      </c>
      <c r="I204" s="14" t="e">
        <f t="shared" si="19"/>
        <v>#DIV/0!</v>
      </c>
      <c r="J204" s="2">
        <f t="shared" si="20"/>
        <v>0</v>
      </c>
      <c r="K204" s="14" t="e">
        <f t="shared" si="21"/>
        <v>#DIV/0!</v>
      </c>
      <c r="L204" s="7" t="e">
        <f t="shared" si="22"/>
        <v>#DIV/0!</v>
      </c>
      <c r="M204" s="2" t="e">
        <f t="shared" si="23"/>
        <v>#DIV/0!</v>
      </c>
    </row>
    <row r="205" spans="8:13">
      <c r="H205" s="2">
        <f t="shared" si="18"/>
        <v>0</v>
      </c>
      <c r="I205" s="14" t="e">
        <f t="shared" si="19"/>
        <v>#DIV/0!</v>
      </c>
      <c r="J205" s="2">
        <f t="shared" si="20"/>
        <v>0</v>
      </c>
      <c r="K205" s="14" t="e">
        <f t="shared" si="21"/>
        <v>#DIV/0!</v>
      </c>
      <c r="L205" s="7" t="e">
        <f t="shared" si="22"/>
        <v>#DIV/0!</v>
      </c>
      <c r="M205" s="2" t="e">
        <f t="shared" si="23"/>
        <v>#DIV/0!</v>
      </c>
    </row>
    <row r="206" spans="8:13">
      <c r="H206" s="2">
        <f t="shared" si="18"/>
        <v>0</v>
      </c>
      <c r="I206" s="14" t="e">
        <f t="shared" si="19"/>
        <v>#DIV/0!</v>
      </c>
      <c r="J206" s="2">
        <f t="shared" si="20"/>
        <v>0</v>
      </c>
      <c r="K206" s="14" t="e">
        <f t="shared" si="21"/>
        <v>#DIV/0!</v>
      </c>
      <c r="L206" s="7" t="e">
        <f t="shared" si="22"/>
        <v>#DIV/0!</v>
      </c>
      <c r="M206" s="2" t="e">
        <f t="shared" si="23"/>
        <v>#DIV/0!</v>
      </c>
    </row>
    <row r="207" spans="8:13">
      <c r="H207" s="2">
        <f t="shared" si="18"/>
        <v>0</v>
      </c>
      <c r="I207" s="14" t="e">
        <f t="shared" si="19"/>
        <v>#DIV/0!</v>
      </c>
      <c r="J207" s="2">
        <f t="shared" si="20"/>
        <v>0</v>
      </c>
      <c r="K207" s="14" t="e">
        <f t="shared" si="21"/>
        <v>#DIV/0!</v>
      </c>
      <c r="L207" s="7" t="e">
        <f t="shared" si="22"/>
        <v>#DIV/0!</v>
      </c>
      <c r="M207" s="2" t="e">
        <f t="shared" si="23"/>
        <v>#DIV/0!</v>
      </c>
    </row>
    <row r="208" spans="8:13">
      <c r="H208" s="2">
        <f t="shared" si="18"/>
        <v>0</v>
      </c>
      <c r="I208" s="14" t="e">
        <f t="shared" si="19"/>
        <v>#DIV/0!</v>
      </c>
      <c r="J208" s="2">
        <f t="shared" si="20"/>
        <v>0</v>
      </c>
      <c r="K208" s="14" t="e">
        <f t="shared" si="21"/>
        <v>#DIV/0!</v>
      </c>
      <c r="L208" s="7" t="e">
        <f t="shared" si="22"/>
        <v>#DIV/0!</v>
      </c>
      <c r="M208" s="2" t="e">
        <f t="shared" si="23"/>
        <v>#DIV/0!</v>
      </c>
    </row>
    <row r="209" spans="8:13">
      <c r="H209" s="2">
        <f t="shared" si="18"/>
        <v>0</v>
      </c>
      <c r="I209" s="14" t="e">
        <f t="shared" si="19"/>
        <v>#DIV/0!</v>
      </c>
      <c r="J209" s="2">
        <f t="shared" si="20"/>
        <v>0</v>
      </c>
      <c r="K209" s="14" t="e">
        <f t="shared" si="21"/>
        <v>#DIV/0!</v>
      </c>
      <c r="L209" s="7" t="e">
        <f t="shared" si="22"/>
        <v>#DIV/0!</v>
      </c>
      <c r="M209" s="2" t="e">
        <f t="shared" si="23"/>
        <v>#DIV/0!</v>
      </c>
    </row>
    <row r="210" spans="8:13">
      <c r="H210" s="2">
        <f t="shared" si="18"/>
        <v>0</v>
      </c>
      <c r="I210" s="14" t="e">
        <f t="shared" si="19"/>
        <v>#DIV/0!</v>
      </c>
      <c r="J210" s="2">
        <f t="shared" si="20"/>
        <v>0</v>
      </c>
      <c r="K210" s="14" t="e">
        <f t="shared" si="21"/>
        <v>#DIV/0!</v>
      </c>
      <c r="L210" s="7" t="e">
        <f t="shared" si="22"/>
        <v>#DIV/0!</v>
      </c>
      <c r="M210" s="2" t="e">
        <f t="shared" si="23"/>
        <v>#DIV/0!</v>
      </c>
    </row>
    <row r="211" spans="8:13">
      <c r="H211" s="2">
        <f t="shared" si="18"/>
        <v>0</v>
      </c>
      <c r="I211" s="14" t="e">
        <f t="shared" si="19"/>
        <v>#DIV/0!</v>
      </c>
      <c r="J211" s="2">
        <f t="shared" si="20"/>
        <v>0</v>
      </c>
      <c r="K211" s="14" t="e">
        <f t="shared" si="21"/>
        <v>#DIV/0!</v>
      </c>
      <c r="L211" s="7" t="e">
        <f t="shared" si="22"/>
        <v>#DIV/0!</v>
      </c>
      <c r="M211" s="2" t="e">
        <f t="shared" si="23"/>
        <v>#DIV/0!</v>
      </c>
    </row>
    <row r="212" spans="8:13">
      <c r="H212" s="2">
        <f t="shared" si="18"/>
        <v>0</v>
      </c>
      <c r="I212" s="14" t="e">
        <f t="shared" si="19"/>
        <v>#DIV/0!</v>
      </c>
      <c r="J212" s="2">
        <f t="shared" si="20"/>
        <v>0</v>
      </c>
      <c r="K212" s="14" t="e">
        <f t="shared" si="21"/>
        <v>#DIV/0!</v>
      </c>
      <c r="L212" s="7" t="e">
        <f t="shared" si="22"/>
        <v>#DIV/0!</v>
      </c>
      <c r="M212" s="2" t="e">
        <f t="shared" si="23"/>
        <v>#DIV/0!</v>
      </c>
    </row>
    <row r="213" spans="8:13">
      <c r="H213" s="2">
        <f t="shared" si="18"/>
        <v>0</v>
      </c>
      <c r="I213" s="14" t="e">
        <f t="shared" si="19"/>
        <v>#DIV/0!</v>
      </c>
      <c r="J213" s="2">
        <f t="shared" si="20"/>
        <v>0</v>
      </c>
      <c r="K213" s="14" t="e">
        <f t="shared" si="21"/>
        <v>#DIV/0!</v>
      </c>
      <c r="L213" s="7" t="e">
        <f t="shared" si="22"/>
        <v>#DIV/0!</v>
      </c>
      <c r="M213" s="2" t="e">
        <f t="shared" si="23"/>
        <v>#DIV/0!</v>
      </c>
    </row>
    <row r="214" spans="8:13">
      <c r="H214" s="2">
        <f t="shared" si="18"/>
        <v>0</v>
      </c>
      <c r="I214" s="14" t="e">
        <f t="shared" si="19"/>
        <v>#DIV/0!</v>
      </c>
      <c r="J214" s="2">
        <f t="shared" si="20"/>
        <v>0</v>
      </c>
      <c r="K214" s="14" t="e">
        <f t="shared" si="21"/>
        <v>#DIV/0!</v>
      </c>
      <c r="L214" s="7" t="e">
        <f t="shared" si="22"/>
        <v>#DIV/0!</v>
      </c>
      <c r="M214" s="2" t="e">
        <f t="shared" si="23"/>
        <v>#DIV/0!</v>
      </c>
    </row>
    <row r="215" spans="8:13">
      <c r="H215" s="2">
        <f t="shared" si="18"/>
        <v>0</v>
      </c>
      <c r="I215" s="14" t="e">
        <f t="shared" si="19"/>
        <v>#DIV/0!</v>
      </c>
      <c r="J215" s="2">
        <f t="shared" si="20"/>
        <v>0</v>
      </c>
      <c r="K215" s="14" t="e">
        <f t="shared" si="21"/>
        <v>#DIV/0!</v>
      </c>
      <c r="L215" s="7" t="e">
        <f t="shared" si="22"/>
        <v>#DIV/0!</v>
      </c>
      <c r="M215" s="2" t="e">
        <f t="shared" si="23"/>
        <v>#DIV/0!</v>
      </c>
    </row>
    <row r="216" spans="8:13">
      <c r="H216" s="2">
        <f t="shared" si="18"/>
        <v>0</v>
      </c>
      <c r="I216" s="14" t="e">
        <f t="shared" si="19"/>
        <v>#DIV/0!</v>
      </c>
      <c r="J216" s="2">
        <f t="shared" si="20"/>
        <v>0</v>
      </c>
      <c r="K216" s="14" t="e">
        <f t="shared" si="21"/>
        <v>#DIV/0!</v>
      </c>
      <c r="L216" s="7" t="e">
        <f t="shared" si="22"/>
        <v>#DIV/0!</v>
      </c>
      <c r="M216" s="2" t="e">
        <f t="shared" si="23"/>
        <v>#DIV/0!</v>
      </c>
    </row>
    <row r="217" spans="8:13">
      <c r="H217" s="2">
        <f t="shared" si="18"/>
        <v>0</v>
      </c>
      <c r="I217" s="14" t="e">
        <f t="shared" si="19"/>
        <v>#DIV/0!</v>
      </c>
      <c r="J217" s="2">
        <f t="shared" si="20"/>
        <v>0</v>
      </c>
      <c r="K217" s="14" t="e">
        <f t="shared" si="21"/>
        <v>#DIV/0!</v>
      </c>
      <c r="L217" s="7" t="e">
        <f t="shared" si="22"/>
        <v>#DIV/0!</v>
      </c>
      <c r="M217" s="2" t="e">
        <f t="shared" si="23"/>
        <v>#DIV/0!</v>
      </c>
    </row>
    <row r="218" spans="8:13">
      <c r="H218" s="2">
        <f t="shared" si="18"/>
        <v>0</v>
      </c>
      <c r="I218" s="14" t="e">
        <f t="shared" si="19"/>
        <v>#DIV/0!</v>
      </c>
      <c r="J218" s="2">
        <f t="shared" si="20"/>
        <v>0</v>
      </c>
      <c r="K218" s="14" t="e">
        <f t="shared" si="21"/>
        <v>#DIV/0!</v>
      </c>
      <c r="L218" s="7" t="e">
        <f t="shared" si="22"/>
        <v>#DIV/0!</v>
      </c>
      <c r="M218" s="2" t="e">
        <f t="shared" si="23"/>
        <v>#DIV/0!</v>
      </c>
    </row>
    <row r="219" spans="8:13">
      <c r="H219" s="2">
        <f t="shared" si="18"/>
        <v>0</v>
      </c>
      <c r="I219" s="14" t="e">
        <f t="shared" si="19"/>
        <v>#DIV/0!</v>
      </c>
      <c r="J219" s="2">
        <f t="shared" si="20"/>
        <v>0</v>
      </c>
      <c r="K219" s="14" t="e">
        <f t="shared" si="21"/>
        <v>#DIV/0!</v>
      </c>
      <c r="L219" s="7" t="e">
        <f t="shared" si="22"/>
        <v>#DIV/0!</v>
      </c>
      <c r="M219" s="2" t="e">
        <f t="shared" si="23"/>
        <v>#DIV/0!</v>
      </c>
    </row>
    <row r="220" spans="8:13">
      <c r="H220" s="2">
        <f t="shared" si="18"/>
        <v>0</v>
      </c>
      <c r="I220" s="14" t="e">
        <f t="shared" si="19"/>
        <v>#DIV/0!</v>
      </c>
      <c r="J220" s="2">
        <f t="shared" si="20"/>
        <v>0</v>
      </c>
      <c r="K220" s="14" t="e">
        <f t="shared" si="21"/>
        <v>#DIV/0!</v>
      </c>
      <c r="L220" s="7" t="e">
        <f t="shared" si="22"/>
        <v>#DIV/0!</v>
      </c>
      <c r="M220" s="2" t="e">
        <f t="shared" si="23"/>
        <v>#DIV/0!</v>
      </c>
    </row>
    <row r="221" spans="8:13">
      <c r="H221" s="2">
        <f t="shared" si="18"/>
        <v>0</v>
      </c>
      <c r="I221" s="14" t="e">
        <f t="shared" si="19"/>
        <v>#DIV/0!</v>
      </c>
      <c r="J221" s="2">
        <f t="shared" si="20"/>
        <v>0</v>
      </c>
      <c r="K221" s="14" t="e">
        <f t="shared" si="21"/>
        <v>#DIV/0!</v>
      </c>
      <c r="L221" s="7" t="e">
        <f t="shared" si="22"/>
        <v>#DIV/0!</v>
      </c>
      <c r="M221" s="2" t="e">
        <f t="shared" si="23"/>
        <v>#DIV/0!</v>
      </c>
    </row>
    <row r="222" spans="8:13">
      <c r="H222" s="2">
        <f t="shared" si="18"/>
        <v>0</v>
      </c>
      <c r="I222" s="14" t="e">
        <f t="shared" si="19"/>
        <v>#DIV/0!</v>
      </c>
      <c r="J222" s="2">
        <f t="shared" si="20"/>
        <v>0</v>
      </c>
      <c r="K222" s="14" t="e">
        <f t="shared" si="21"/>
        <v>#DIV/0!</v>
      </c>
      <c r="L222" s="7" t="e">
        <f t="shared" si="22"/>
        <v>#DIV/0!</v>
      </c>
      <c r="M222" s="2" t="e">
        <f t="shared" si="23"/>
        <v>#DIV/0!</v>
      </c>
    </row>
    <row r="223" spans="8:13">
      <c r="H223" s="2">
        <f t="shared" si="18"/>
        <v>0</v>
      </c>
      <c r="I223" s="14" t="e">
        <f t="shared" si="19"/>
        <v>#DIV/0!</v>
      </c>
      <c r="J223" s="2">
        <f t="shared" si="20"/>
        <v>0</v>
      </c>
      <c r="K223" s="14" t="e">
        <f t="shared" si="21"/>
        <v>#DIV/0!</v>
      </c>
      <c r="L223" s="7" t="e">
        <f t="shared" si="22"/>
        <v>#DIV/0!</v>
      </c>
      <c r="M223" s="2" t="e">
        <f t="shared" si="23"/>
        <v>#DIV/0!</v>
      </c>
    </row>
    <row r="224" spans="8:13">
      <c r="H224" s="2">
        <f t="shared" si="18"/>
        <v>0</v>
      </c>
      <c r="I224" s="14" t="e">
        <f t="shared" si="19"/>
        <v>#DIV/0!</v>
      </c>
      <c r="J224" s="2">
        <f t="shared" si="20"/>
        <v>0</v>
      </c>
      <c r="K224" s="14" t="e">
        <f t="shared" si="21"/>
        <v>#DIV/0!</v>
      </c>
      <c r="L224" s="7" t="e">
        <f t="shared" si="22"/>
        <v>#DIV/0!</v>
      </c>
      <c r="M224" s="2" t="e">
        <f t="shared" si="23"/>
        <v>#DIV/0!</v>
      </c>
    </row>
    <row r="225" spans="8:13">
      <c r="H225" s="2">
        <f t="shared" si="18"/>
        <v>0</v>
      </c>
      <c r="I225" s="14" t="e">
        <f t="shared" si="19"/>
        <v>#DIV/0!</v>
      </c>
      <c r="J225" s="2">
        <f t="shared" si="20"/>
        <v>0</v>
      </c>
      <c r="K225" s="14" t="e">
        <f t="shared" si="21"/>
        <v>#DIV/0!</v>
      </c>
      <c r="L225" s="7" t="e">
        <f t="shared" si="22"/>
        <v>#DIV/0!</v>
      </c>
      <c r="M225" s="2" t="e">
        <f t="shared" si="23"/>
        <v>#DIV/0!</v>
      </c>
    </row>
    <row r="226" spans="8:13">
      <c r="H226" s="2">
        <f t="shared" si="18"/>
        <v>0</v>
      </c>
      <c r="I226" s="14" t="e">
        <f t="shared" si="19"/>
        <v>#DIV/0!</v>
      </c>
      <c r="J226" s="2">
        <f t="shared" si="20"/>
        <v>0</v>
      </c>
      <c r="K226" s="14" t="e">
        <f t="shared" si="21"/>
        <v>#DIV/0!</v>
      </c>
      <c r="L226" s="7" t="e">
        <f t="shared" si="22"/>
        <v>#DIV/0!</v>
      </c>
      <c r="M226" s="2" t="e">
        <f t="shared" si="23"/>
        <v>#DIV/0!</v>
      </c>
    </row>
    <row r="227" spans="8:13">
      <c r="H227" s="2">
        <f t="shared" si="18"/>
        <v>0</v>
      </c>
      <c r="I227" s="14" t="e">
        <f t="shared" si="19"/>
        <v>#DIV/0!</v>
      </c>
      <c r="J227" s="2">
        <f t="shared" si="20"/>
        <v>0</v>
      </c>
      <c r="K227" s="14" t="e">
        <f t="shared" si="21"/>
        <v>#DIV/0!</v>
      </c>
      <c r="L227" s="7" t="e">
        <f t="shared" si="22"/>
        <v>#DIV/0!</v>
      </c>
      <c r="M227" s="2" t="e">
        <f t="shared" si="23"/>
        <v>#DIV/0!</v>
      </c>
    </row>
    <row r="228" spans="8:13">
      <c r="H228" s="2">
        <f t="shared" si="18"/>
        <v>0</v>
      </c>
      <c r="I228" s="14" t="e">
        <f t="shared" si="19"/>
        <v>#DIV/0!</v>
      </c>
      <c r="J228" s="2">
        <f t="shared" si="20"/>
        <v>0</v>
      </c>
      <c r="K228" s="14" t="e">
        <f t="shared" si="21"/>
        <v>#DIV/0!</v>
      </c>
      <c r="L228" s="7" t="e">
        <f t="shared" si="22"/>
        <v>#DIV/0!</v>
      </c>
      <c r="M228" s="2" t="e">
        <f t="shared" si="23"/>
        <v>#DIV/0!</v>
      </c>
    </row>
    <row r="229" spans="8:13">
      <c r="H229" s="2">
        <f t="shared" si="18"/>
        <v>0</v>
      </c>
      <c r="I229" s="14" t="e">
        <f t="shared" si="19"/>
        <v>#DIV/0!</v>
      </c>
      <c r="J229" s="2">
        <f t="shared" si="20"/>
        <v>0</v>
      </c>
      <c r="K229" s="14" t="e">
        <f t="shared" si="21"/>
        <v>#DIV/0!</v>
      </c>
      <c r="L229" s="7" t="e">
        <f t="shared" si="22"/>
        <v>#DIV/0!</v>
      </c>
      <c r="M229" s="2" t="e">
        <f t="shared" si="23"/>
        <v>#DIV/0!</v>
      </c>
    </row>
    <row r="230" spans="8:13">
      <c r="H230" s="2">
        <f t="shared" si="18"/>
        <v>0</v>
      </c>
      <c r="I230" s="14" t="e">
        <f t="shared" si="19"/>
        <v>#DIV/0!</v>
      </c>
      <c r="J230" s="2">
        <f t="shared" si="20"/>
        <v>0</v>
      </c>
      <c r="K230" s="14" t="e">
        <f t="shared" si="21"/>
        <v>#DIV/0!</v>
      </c>
      <c r="L230" s="7" t="e">
        <f t="shared" si="22"/>
        <v>#DIV/0!</v>
      </c>
      <c r="M230" s="2" t="e">
        <f t="shared" si="23"/>
        <v>#DIV/0!</v>
      </c>
    </row>
    <row r="231" spans="8:13">
      <c r="H231" s="2">
        <f t="shared" si="18"/>
        <v>0</v>
      </c>
      <c r="I231" s="14" t="e">
        <f t="shared" si="19"/>
        <v>#DIV/0!</v>
      </c>
      <c r="J231" s="2">
        <f t="shared" si="20"/>
        <v>0</v>
      </c>
      <c r="K231" s="14" t="e">
        <f t="shared" si="21"/>
        <v>#DIV/0!</v>
      </c>
      <c r="L231" s="7" t="e">
        <f t="shared" si="22"/>
        <v>#DIV/0!</v>
      </c>
      <c r="M231" s="2" t="e">
        <f t="shared" si="23"/>
        <v>#DIV/0!</v>
      </c>
    </row>
    <row r="232" spans="8:13">
      <c r="H232" s="2">
        <f t="shared" si="18"/>
        <v>0</v>
      </c>
      <c r="I232" s="14" t="e">
        <f t="shared" si="19"/>
        <v>#DIV/0!</v>
      </c>
      <c r="J232" s="2">
        <f t="shared" si="20"/>
        <v>0</v>
      </c>
      <c r="K232" s="14" t="e">
        <f t="shared" si="21"/>
        <v>#DIV/0!</v>
      </c>
      <c r="L232" s="7" t="e">
        <f t="shared" si="22"/>
        <v>#DIV/0!</v>
      </c>
      <c r="M232" s="2" t="e">
        <f t="shared" si="23"/>
        <v>#DIV/0!</v>
      </c>
    </row>
    <row r="233" spans="8:13">
      <c r="H233" s="2">
        <f t="shared" si="18"/>
        <v>0</v>
      </c>
      <c r="I233" s="14" t="e">
        <f t="shared" si="19"/>
        <v>#DIV/0!</v>
      </c>
      <c r="J233" s="2">
        <f t="shared" si="20"/>
        <v>0</v>
      </c>
      <c r="K233" s="14" t="e">
        <f t="shared" si="21"/>
        <v>#DIV/0!</v>
      </c>
      <c r="L233" s="7" t="e">
        <f t="shared" si="22"/>
        <v>#DIV/0!</v>
      </c>
      <c r="M233" s="2" t="e">
        <f t="shared" si="23"/>
        <v>#DIV/0!</v>
      </c>
    </row>
    <row r="234" spans="8:13">
      <c r="H234" s="2">
        <f t="shared" si="18"/>
        <v>0</v>
      </c>
      <c r="I234" s="14" t="e">
        <f t="shared" si="19"/>
        <v>#DIV/0!</v>
      </c>
      <c r="J234" s="2">
        <f t="shared" si="20"/>
        <v>0</v>
      </c>
      <c r="K234" s="14" t="e">
        <f t="shared" si="21"/>
        <v>#DIV/0!</v>
      </c>
      <c r="L234" s="7" t="e">
        <f t="shared" si="22"/>
        <v>#DIV/0!</v>
      </c>
      <c r="M234" s="2" t="e">
        <f t="shared" si="23"/>
        <v>#DIV/0!</v>
      </c>
    </row>
    <row r="235" spans="8:13">
      <c r="H235" s="2">
        <f t="shared" si="18"/>
        <v>0</v>
      </c>
      <c r="I235" s="14" t="e">
        <f t="shared" si="19"/>
        <v>#DIV/0!</v>
      </c>
      <c r="J235" s="2">
        <f t="shared" si="20"/>
        <v>0</v>
      </c>
      <c r="K235" s="14" t="e">
        <f t="shared" si="21"/>
        <v>#DIV/0!</v>
      </c>
      <c r="L235" s="7" t="e">
        <f t="shared" si="22"/>
        <v>#DIV/0!</v>
      </c>
      <c r="M235" s="2" t="e">
        <f t="shared" si="23"/>
        <v>#DIV/0!</v>
      </c>
    </row>
    <row r="236" spans="8:13">
      <c r="H236" s="2">
        <f t="shared" si="18"/>
        <v>0</v>
      </c>
      <c r="I236" s="14" t="e">
        <f t="shared" si="19"/>
        <v>#DIV/0!</v>
      </c>
      <c r="J236" s="2">
        <f t="shared" si="20"/>
        <v>0</v>
      </c>
      <c r="K236" s="14" t="e">
        <f t="shared" si="21"/>
        <v>#DIV/0!</v>
      </c>
      <c r="L236" s="7" t="e">
        <f t="shared" si="22"/>
        <v>#DIV/0!</v>
      </c>
      <c r="M236" s="2" t="e">
        <f t="shared" si="23"/>
        <v>#DIV/0!</v>
      </c>
    </row>
    <row r="237" spans="8:13">
      <c r="H237" s="2">
        <f t="shared" si="18"/>
        <v>0</v>
      </c>
      <c r="I237" s="14" t="e">
        <f t="shared" si="19"/>
        <v>#DIV/0!</v>
      </c>
      <c r="J237" s="2">
        <f t="shared" si="20"/>
        <v>0</v>
      </c>
      <c r="K237" s="14" t="e">
        <f t="shared" si="21"/>
        <v>#DIV/0!</v>
      </c>
      <c r="L237" s="7" t="e">
        <f t="shared" si="22"/>
        <v>#DIV/0!</v>
      </c>
      <c r="M237" s="2" t="e">
        <f t="shared" si="23"/>
        <v>#DIV/0!</v>
      </c>
    </row>
    <row r="238" spans="8:13">
      <c r="H238" s="2">
        <f t="shared" si="18"/>
        <v>0</v>
      </c>
      <c r="I238" s="14" t="e">
        <f t="shared" si="19"/>
        <v>#DIV/0!</v>
      </c>
      <c r="J238" s="2">
        <f t="shared" si="20"/>
        <v>0</v>
      </c>
      <c r="K238" s="14" t="e">
        <f t="shared" si="21"/>
        <v>#DIV/0!</v>
      </c>
      <c r="L238" s="7" t="e">
        <f t="shared" si="22"/>
        <v>#DIV/0!</v>
      </c>
      <c r="M238" s="2" t="e">
        <f t="shared" si="23"/>
        <v>#DIV/0!</v>
      </c>
    </row>
    <row r="239" spans="8:13">
      <c r="H239" s="2">
        <f t="shared" si="18"/>
        <v>0</v>
      </c>
      <c r="I239" s="14" t="e">
        <f t="shared" si="19"/>
        <v>#DIV/0!</v>
      </c>
      <c r="J239" s="2">
        <f t="shared" si="20"/>
        <v>0</v>
      </c>
      <c r="K239" s="14" t="e">
        <f t="shared" si="21"/>
        <v>#DIV/0!</v>
      </c>
      <c r="L239" s="7" t="e">
        <f t="shared" si="22"/>
        <v>#DIV/0!</v>
      </c>
      <c r="M239" s="2" t="e">
        <f t="shared" si="23"/>
        <v>#DIV/0!</v>
      </c>
    </row>
    <row r="240" spans="8:13">
      <c r="H240" s="2">
        <f t="shared" si="18"/>
        <v>0</v>
      </c>
      <c r="I240" s="14" t="e">
        <f t="shared" si="19"/>
        <v>#DIV/0!</v>
      </c>
      <c r="J240" s="2">
        <f t="shared" si="20"/>
        <v>0</v>
      </c>
      <c r="K240" s="14" t="e">
        <f t="shared" si="21"/>
        <v>#DIV/0!</v>
      </c>
      <c r="L240" s="7" t="e">
        <f t="shared" si="22"/>
        <v>#DIV/0!</v>
      </c>
      <c r="M240" s="2" t="e">
        <f t="shared" si="23"/>
        <v>#DIV/0!</v>
      </c>
    </row>
    <row r="241" spans="8:13">
      <c r="H241" s="2">
        <f t="shared" si="18"/>
        <v>0</v>
      </c>
      <c r="I241" s="14" t="e">
        <f t="shared" si="19"/>
        <v>#DIV/0!</v>
      </c>
      <c r="J241" s="2">
        <f t="shared" si="20"/>
        <v>0</v>
      </c>
      <c r="K241" s="14" t="e">
        <f t="shared" si="21"/>
        <v>#DIV/0!</v>
      </c>
      <c r="L241" s="7" t="e">
        <f t="shared" si="22"/>
        <v>#DIV/0!</v>
      </c>
      <c r="M241" s="2" t="e">
        <f t="shared" si="23"/>
        <v>#DIV/0!</v>
      </c>
    </row>
    <row r="242" spans="8:13">
      <c r="H242" s="2">
        <f t="shared" si="18"/>
        <v>0</v>
      </c>
      <c r="I242" s="14" t="e">
        <f t="shared" si="19"/>
        <v>#DIV/0!</v>
      </c>
      <c r="J242" s="2">
        <f t="shared" si="20"/>
        <v>0</v>
      </c>
      <c r="K242" s="14" t="e">
        <f t="shared" si="21"/>
        <v>#DIV/0!</v>
      </c>
      <c r="L242" s="7" t="e">
        <f t="shared" si="22"/>
        <v>#DIV/0!</v>
      </c>
      <c r="M242" s="2" t="e">
        <f t="shared" si="23"/>
        <v>#DIV/0!</v>
      </c>
    </row>
    <row r="243" spans="8:13">
      <c r="H243" s="2">
        <f t="shared" si="18"/>
        <v>0</v>
      </c>
      <c r="I243" s="14" t="e">
        <f t="shared" si="19"/>
        <v>#DIV/0!</v>
      </c>
      <c r="J243" s="2">
        <f t="shared" si="20"/>
        <v>0</v>
      </c>
      <c r="K243" s="14" t="e">
        <f t="shared" si="21"/>
        <v>#DIV/0!</v>
      </c>
      <c r="L243" s="7" t="e">
        <f t="shared" si="22"/>
        <v>#DIV/0!</v>
      </c>
      <c r="M243" s="2" t="e">
        <f t="shared" si="23"/>
        <v>#DIV/0!</v>
      </c>
    </row>
    <row r="244" spans="8:13">
      <c r="H244" s="2">
        <f t="shared" si="18"/>
        <v>0</v>
      </c>
      <c r="I244" s="14" t="e">
        <f t="shared" si="19"/>
        <v>#DIV/0!</v>
      </c>
      <c r="J244" s="2">
        <f t="shared" si="20"/>
        <v>0</v>
      </c>
      <c r="K244" s="14" t="e">
        <f t="shared" si="21"/>
        <v>#DIV/0!</v>
      </c>
      <c r="L244" s="7" t="e">
        <f t="shared" si="22"/>
        <v>#DIV/0!</v>
      </c>
      <c r="M244" s="2" t="e">
        <f t="shared" si="23"/>
        <v>#DIV/0!</v>
      </c>
    </row>
    <row r="245" spans="8:13">
      <c r="H245" s="2">
        <f t="shared" si="18"/>
        <v>0</v>
      </c>
      <c r="I245" s="14" t="e">
        <f t="shared" si="19"/>
        <v>#DIV/0!</v>
      </c>
      <c r="J245" s="2">
        <f t="shared" si="20"/>
        <v>0</v>
      </c>
      <c r="K245" s="14" t="e">
        <f t="shared" si="21"/>
        <v>#DIV/0!</v>
      </c>
      <c r="L245" s="7" t="e">
        <f t="shared" si="22"/>
        <v>#DIV/0!</v>
      </c>
      <c r="M245" s="2" t="e">
        <f t="shared" si="23"/>
        <v>#DIV/0!</v>
      </c>
    </row>
    <row r="246" spans="8:13">
      <c r="H246" s="2">
        <f t="shared" si="18"/>
        <v>0</v>
      </c>
      <c r="I246" s="14" t="e">
        <f t="shared" si="19"/>
        <v>#DIV/0!</v>
      </c>
      <c r="J246" s="2">
        <f t="shared" si="20"/>
        <v>0</v>
      </c>
      <c r="K246" s="14" t="e">
        <f t="shared" si="21"/>
        <v>#DIV/0!</v>
      </c>
      <c r="L246" s="7" t="e">
        <f t="shared" si="22"/>
        <v>#DIV/0!</v>
      </c>
      <c r="M246" s="2" t="e">
        <f t="shared" si="23"/>
        <v>#DIV/0!</v>
      </c>
    </row>
    <row r="247" spans="8:13">
      <c r="H247" s="2">
        <f t="shared" si="18"/>
        <v>0</v>
      </c>
      <c r="I247" s="14" t="e">
        <f t="shared" si="19"/>
        <v>#DIV/0!</v>
      </c>
      <c r="J247" s="2">
        <f t="shared" si="20"/>
        <v>0</v>
      </c>
      <c r="K247" s="14" t="e">
        <f t="shared" si="21"/>
        <v>#DIV/0!</v>
      </c>
      <c r="L247" s="7" t="e">
        <f t="shared" si="22"/>
        <v>#DIV/0!</v>
      </c>
      <c r="M247" s="2" t="e">
        <f t="shared" si="23"/>
        <v>#DIV/0!</v>
      </c>
    </row>
    <row r="248" spans="8:13">
      <c r="H248" s="2">
        <f t="shared" si="18"/>
        <v>0</v>
      </c>
      <c r="I248" s="14" t="e">
        <f t="shared" si="19"/>
        <v>#DIV/0!</v>
      </c>
      <c r="J248" s="2">
        <f t="shared" si="20"/>
        <v>0</v>
      </c>
      <c r="K248" s="14" t="e">
        <f t="shared" si="21"/>
        <v>#DIV/0!</v>
      </c>
      <c r="L248" s="7" t="e">
        <f t="shared" si="22"/>
        <v>#DIV/0!</v>
      </c>
      <c r="M248" s="2" t="e">
        <f t="shared" si="23"/>
        <v>#DIV/0!</v>
      </c>
    </row>
    <row r="249" spans="8:13">
      <c r="H249" s="2">
        <f t="shared" si="18"/>
        <v>0</v>
      </c>
      <c r="I249" s="14" t="e">
        <f t="shared" si="19"/>
        <v>#DIV/0!</v>
      </c>
      <c r="J249" s="2">
        <f t="shared" si="20"/>
        <v>0</v>
      </c>
      <c r="K249" s="14" t="e">
        <f t="shared" si="21"/>
        <v>#DIV/0!</v>
      </c>
      <c r="L249" s="7" t="e">
        <f t="shared" si="22"/>
        <v>#DIV/0!</v>
      </c>
      <c r="M249" s="2" t="e">
        <f t="shared" si="23"/>
        <v>#DIV/0!</v>
      </c>
    </row>
    <row r="250" spans="8:13">
      <c r="H250" s="2">
        <f t="shared" si="18"/>
        <v>0</v>
      </c>
      <c r="I250" s="14" t="e">
        <f t="shared" si="19"/>
        <v>#DIV/0!</v>
      </c>
      <c r="J250" s="2">
        <f t="shared" si="20"/>
        <v>0</v>
      </c>
      <c r="K250" s="14" t="e">
        <f t="shared" si="21"/>
        <v>#DIV/0!</v>
      </c>
      <c r="L250" s="7" t="e">
        <f t="shared" si="22"/>
        <v>#DIV/0!</v>
      </c>
      <c r="M250" s="2" t="e">
        <f t="shared" si="23"/>
        <v>#DIV/0!</v>
      </c>
    </row>
    <row r="251" spans="8:13">
      <c r="H251" s="2">
        <f t="shared" si="18"/>
        <v>0</v>
      </c>
      <c r="I251" s="14" t="e">
        <f t="shared" si="19"/>
        <v>#DIV/0!</v>
      </c>
      <c r="J251" s="2">
        <f t="shared" si="20"/>
        <v>0</v>
      </c>
      <c r="K251" s="14" t="e">
        <f t="shared" si="21"/>
        <v>#DIV/0!</v>
      </c>
      <c r="L251" s="7" t="e">
        <f t="shared" si="22"/>
        <v>#DIV/0!</v>
      </c>
      <c r="M251" s="2" t="e">
        <f t="shared" si="23"/>
        <v>#DIV/0!</v>
      </c>
    </row>
    <row r="252" spans="8:13">
      <c r="H252" s="2">
        <f t="shared" si="18"/>
        <v>0</v>
      </c>
      <c r="I252" s="14" t="e">
        <f t="shared" si="19"/>
        <v>#DIV/0!</v>
      </c>
      <c r="J252" s="2">
        <f t="shared" si="20"/>
        <v>0</v>
      </c>
      <c r="K252" s="14" t="e">
        <f t="shared" si="21"/>
        <v>#DIV/0!</v>
      </c>
      <c r="L252" s="7" t="e">
        <f t="shared" si="22"/>
        <v>#DIV/0!</v>
      </c>
      <c r="M252" s="2" t="e">
        <f t="shared" si="23"/>
        <v>#DIV/0!</v>
      </c>
    </row>
    <row r="253" spans="8:13">
      <c r="H253" s="2">
        <f t="shared" si="18"/>
        <v>0</v>
      </c>
      <c r="I253" s="14" t="e">
        <f t="shared" si="19"/>
        <v>#DIV/0!</v>
      </c>
      <c r="J253" s="2">
        <f t="shared" si="20"/>
        <v>0</v>
      </c>
      <c r="K253" s="14" t="e">
        <f t="shared" si="21"/>
        <v>#DIV/0!</v>
      </c>
      <c r="L253" s="7" t="e">
        <f t="shared" si="22"/>
        <v>#DIV/0!</v>
      </c>
      <c r="M253" s="2" t="e">
        <f t="shared" si="23"/>
        <v>#DIV/0!</v>
      </c>
    </row>
    <row r="254" spans="8:13">
      <c r="H254" s="2">
        <f t="shared" si="18"/>
        <v>0</v>
      </c>
      <c r="I254" s="14" t="e">
        <f t="shared" si="19"/>
        <v>#DIV/0!</v>
      </c>
      <c r="J254" s="2">
        <f t="shared" si="20"/>
        <v>0</v>
      </c>
      <c r="K254" s="14" t="e">
        <f t="shared" si="21"/>
        <v>#DIV/0!</v>
      </c>
      <c r="L254" s="7" t="e">
        <f t="shared" si="22"/>
        <v>#DIV/0!</v>
      </c>
      <c r="M254" s="2" t="e">
        <f t="shared" si="23"/>
        <v>#DIV/0!</v>
      </c>
    </row>
    <row r="255" spans="8:13">
      <c r="H255" s="2">
        <f t="shared" si="18"/>
        <v>0</v>
      </c>
      <c r="I255" s="14" t="e">
        <f t="shared" si="19"/>
        <v>#DIV/0!</v>
      </c>
      <c r="J255" s="2">
        <f t="shared" si="20"/>
        <v>0</v>
      </c>
      <c r="K255" s="14" t="e">
        <f t="shared" si="21"/>
        <v>#DIV/0!</v>
      </c>
      <c r="L255" s="7" t="e">
        <f t="shared" si="22"/>
        <v>#DIV/0!</v>
      </c>
      <c r="M255" s="2" t="e">
        <f t="shared" si="23"/>
        <v>#DIV/0!</v>
      </c>
    </row>
    <row r="256" spans="8:13">
      <c r="H256" s="2">
        <f t="shared" si="18"/>
        <v>0</v>
      </c>
      <c r="I256" s="14" t="e">
        <f t="shared" si="19"/>
        <v>#DIV/0!</v>
      </c>
      <c r="J256" s="2">
        <f t="shared" si="20"/>
        <v>0</v>
      </c>
      <c r="K256" s="14" t="e">
        <f t="shared" si="21"/>
        <v>#DIV/0!</v>
      </c>
      <c r="L256" s="7" t="e">
        <f t="shared" si="22"/>
        <v>#DIV/0!</v>
      </c>
      <c r="M256" s="2" t="e">
        <f t="shared" si="23"/>
        <v>#DIV/0!</v>
      </c>
    </row>
    <row r="257" spans="8:13">
      <c r="H257" s="2">
        <f t="shared" si="18"/>
        <v>0</v>
      </c>
      <c r="I257" s="14" t="e">
        <f t="shared" si="19"/>
        <v>#DIV/0!</v>
      </c>
      <c r="J257" s="2">
        <f t="shared" si="20"/>
        <v>0</v>
      </c>
      <c r="K257" s="14" t="e">
        <f t="shared" si="21"/>
        <v>#DIV/0!</v>
      </c>
      <c r="L257" s="7" t="e">
        <f t="shared" si="22"/>
        <v>#DIV/0!</v>
      </c>
      <c r="M257" s="2" t="e">
        <f t="shared" si="23"/>
        <v>#DIV/0!</v>
      </c>
    </row>
    <row r="258" spans="8:13">
      <c r="H258" s="2">
        <f t="shared" si="18"/>
        <v>0</v>
      </c>
      <c r="I258" s="14" t="e">
        <f t="shared" si="19"/>
        <v>#DIV/0!</v>
      </c>
      <c r="J258" s="2">
        <f t="shared" si="20"/>
        <v>0</v>
      </c>
      <c r="K258" s="14" t="e">
        <f t="shared" si="21"/>
        <v>#DIV/0!</v>
      </c>
      <c r="L258" s="7" t="e">
        <f t="shared" si="22"/>
        <v>#DIV/0!</v>
      </c>
      <c r="M258" s="2" t="e">
        <f t="shared" si="23"/>
        <v>#DIV/0!</v>
      </c>
    </row>
    <row r="259" spans="8:13">
      <c r="H259" s="2">
        <f t="shared" si="18"/>
        <v>0</v>
      </c>
      <c r="I259" s="14" t="e">
        <f t="shared" si="19"/>
        <v>#DIV/0!</v>
      </c>
      <c r="J259" s="2">
        <f t="shared" si="20"/>
        <v>0</v>
      </c>
      <c r="K259" s="14" t="e">
        <f t="shared" si="21"/>
        <v>#DIV/0!</v>
      </c>
      <c r="L259" s="7" t="e">
        <f t="shared" si="22"/>
        <v>#DIV/0!</v>
      </c>
      <c r="M259" s="2" t="e">
        <f t="shared" si="23"/>
        <v>#DIV/0!</v>
      </c>
    </row>
    <row r="260" spans="8:13">
      <c r="H260" s="2">
        <f t="shared" si="18"/>
        <v>0</v>
      </c>
      <c r="I260" s="14" t="e">
        <f t="shared" si="19"/>
        <v>#DIV/0!</v>
      </c>
      <c r="J260" s="2">
        <f t="shared" si="20"/>
        <v>0</v>
      </c>
      <c r="K260" s="14" t="e">
        <f t="shared" si="21"/>
        <v>#DIV/0!</v>
      </c>
      <c r="L260" s="7" t="e">
        <f t="shared" si="22"/>
        <v>#DIV/0!</v>
      </c>
      <c r="M260" s="2" t="e">
        <f t="shared" si="23"/>
        <v>#DIV/0!</v>
      </c>
    </row>
    <row r="261" spans="8:13">
      <c r="H261" s="2">
        <f t="shared" si="18"/>
        <v>0</v>
      </c>
      <c r="I261" s="14" t="e">
        <f t="shared" si="19"/>
        <v>#DIV/0!</v>
      </c>
      <c r="J261" s="2">
        <f t="shared" si="20"/>
        <v>0</v>
      </c>
      <c r="K261" s="14" t="e">
        <f t="shared" si="21"/>
        <v>#DIV/0!</v>
      </c>
      <c r="L261" s="7" t="e">
        <f t="shared" si="22"/>
        <v>#DIV/0!</v>
      </c>
      <c r="M261" s="2" t="e">
        <f t="shared" si="23"/>
        <v>#DIV/0!</v>
      </c>
    </row>
    <row r="262" spans="8:13">
      <c r="H262" s="2">
        <f t="shared" ref="H262:H325" si="24">F262-F261</f>
        <v>0</v>
      </c>
      <c r="I262" s="14" t="e">
        <f t="shared" ref="I262:I325" si="25">H262/F261</f>
        <v>#DIV/0!</v>
      </c>
      <c r="J262" s="2">
        <f t="shared" ref="J262:J325" si="26">G262-G261</f>
        <v>0</v>
      </c>
      <c r="K262" s="14" t="e">
        <f t="shared" ref="K262:K325" si="27">J262/G261</f>
        <v>#DIV/0!</v>
      </c>
      <c r="L262" s="7" t="e">
        <f t="shared" si="22"/>
        <v>#DIV/0!</v>
      </c>
      <c r="M262" s="2" t="e">
        <f t="shared" si="23"/>
        <v>#DIV/0!</v>
      </c>
    </row>
    <row r="263" spans="8:13">
      <c r="H263" s="2">
        <f t="shared" si="24"/>
        <v>0</v>
      </c>
      <c r="I263" s="14" t="e">
        <f t="shared" si="25"/>
        <v>#DIV/0!</v>
      </c>
      <c r="J263" s="2">
        <f t="shared" si="26"/>
        <v>0</v>
      </c>
      <c r="K263" s="14" t="e">
        <f t="shared" si="27"/>
        <v>#DIV/0!</v>
      </c>
      <c r="L263" s="7" t="e">
        <f t="shared" ref="L263:L326" si="28">IF(AND(E263&gt;$T$4,I263&gt;$N$1),"BEARISH",IF(AND(E263&lt;$T$3,I263&gt;$N$1),"BULLISH",""))</f>
        <v>#DIV/0!</v>
      </c>
      <c r="M263" s="2" t="e">
        <f t="shared" ref="M263:M326" si="29">IF(AND(E263&gt;$T$3,E262&lt;$T$44,I263&gt;$N$2),"BEARISH REVERESAL",IF(AND(E263&lt;$T$4,E262&gt;$T$3,I263&gt;$N$2),"BULLISH REVERESAL",""))</f>
        <v>#DIV/0!</v>
      </c>
    </row>
    <row r="264" spans="8:13">
      <c r="H264" s="2">
        <f t="shared" si="24"/>
        <v>0</v>
      </c>
      <c r="I264" s="14" t="e">
        <f t="shared" si="25"/>
        <v>#DIV/0!</v>
      </c>
      <c r="J264" s="2">
        <f t="shared" si="26"/>
        <v>0</v>
      </c>
      <c r="K264" s="14" t="e">
        <f t="shared" si="27"/>
        <v>#DIV/0!</v>
      </c>
      <c r="L264" s="7" t="e">
        <f t="shared" si="28"/>
        <v>#DIV/0!</v>
      </c>
      <c r="M264" s="2" t="e">
        <f t="shared" si="29"/>
        <v>#DIV/0!</v>
      </c>
    </row>
    <row r="265" spans="8:13">
      <c r="H265" s="2">
        <f t="shared" si="24"/>
        <v>0</v>
      </c>
      <c r="I265" s="14" t="e">
        <f t="shared" si="25"/>
        <v>#DIV/0!</v>
      </c>
      <c r="J265" s="2">
        <f t="shared" si="26"/>
        <v>0</v>
      </c>
      <c r="K265" s="14" t="e">
        <f t="shared" si="27"/>
        <v>#DIV/0!</v>
      </c>
      <c r="L265" s="7" t="e">
        <f t="shared" si="28"/>
        <v>#DIV/0!</v>
      </c>
      <c r="M265" s="2" t="e">
        <f t="shared" si="29"/>
        <v>#DIV/0!</v>
      </c>
    </row>
    <row r="266" spans="8:13">
      <c r="H266" s="2">
        <f t="shared" si="24"/>
        <v>0</v>
      </c>
      <c r="I266" s="14" t="e">
        <f t="shared" si="25"/>
        <v>#DIV/0!</v>
      </c>
      <c r="J266" s="2">
        <f t="shared" si="26"/>
        <v>0</v>
      </c>
      <c r="K266" s="14" t="e">
        <f t="shared" si="27"/>
        <v>#DIV/0!</v>
      </c>
      <c r="L266" s="7" t="e">
        <f t="shared" si="28"/>
        <v>#DIV/0!</v>
      </c>
      <c r="M266" s="2" t="e">
        <f t="shared" si="29"/>
        <v>#DIV/0!</v>
      </c>
    </row>
    <row r="267" spans="8:13">
      <c r="H267" s="2">
        <f t="shared" si="24"/>
        <v>0</v>
      </c>
      <c r="I267" s="14" t="e">
        <f t="shared" si="25"/>
        <v>#DIV/0!</v>
      </c>
      <c r="J267" s="2">
        <f t="shared" si="26"/>
        <v>0</v>
      </c>
      <c r="K267" s="14" t="e">
        <f t="shared" si="27"/>
        <v>#DIV/0!</v>
      </c>
      <c r="L267" s="7" t="e">
        <f t="shared" si="28"/>
        <v>#DIV/0!</v>
      </c>
      <c r="M267" s="2" t="e">
        <f t="shared" si="29"/>
        <v>#DIV/0!</v>
      </c>
    </row>
    <row r="268" spans="8:13">
      <c r="H268" s="2">
        <f t="shared" si="24"/>
        <v>0</v>
      </c>
      <c r="I268" s="14" t="e">
        <f t="shared" si="25"/>
        <v>#DIV/0!</v>
      </c>
      <c r="J268" s="2">
        <f t="shared" si="26"/>
        <v>0</v>
      </c>
      <c r="K268" s="14" t="e">
        <f t="shared" si="27"/>
        <v>#DIV/0!</v>
      </c>
      <c r="L268" s="7" t="e">
        <f t="shared" si="28"/>
        <v>#DIV/0!</v>
      </c>
      <c r="M268" s="2" t="e">
        <f t="shared" si="29"/>
        <v>#DIV/0!</v>
      </c>
    </row>
    <row r="269" spans="8:13">
      <c r="H269" s="2">
        <f t="shared" si="24"/>
        <v>0</v>
      </c>
      <c r="I269" s="14" t="e">
        <f t="shared" si="25"/>
        <v>#DIV/0!</v>
      </c>
      <c r="J269" s="2">
        <f t="shared" si="26"/>
        <v>0</v>
      </c>
      <c r="K269" s="14" t="e">
        <f t="shared" si="27"/>
        <v>#DIV/0!</v>
      </c>
      <c r="L269" s="7" t="e">
        <f t="shared" si="28"/>
        <v>#DIV/0!</v>
      </c>
      <c r="M269" s="2" t="e">
        <f t="shared" si="29"/>
        <v>#DIV/0!</v>
      </c>
    </row>
    <row r="270" spans="8:13">
      <c r="H270" s="2">
        <f t="shared" si="24"/>
        <v>0</v>
      </c>
      <c r="I270" s="14" t="e">
        <f t="shared" si="25"/>
        <v>#DIV/0!</v>
      </c>
      <c r="J270" s="2">
        <f t="shared" si="26"/>
        <v>0</v>
      </c>
      <c r="K270" s="14" t="e">
        <f t="shared" si="27"/>
        <v>#DIV/0!</v>
      </c>
      <c r="L270" s="7" t="e">
        <f t="shared" si="28"/>
        <v>#DIV/0!</v>
      </c>
      <c r="M270" s="2" t="e">
        <f t="shared" si="29"/>
        <v>#DIV/0!</v>
      </c>
    </row>
    <row r="271" spans="8:13">
      <c r="H271" s="2">
        <f t="shared" si="24"/>
        <v>0</v>
      </c>
      <c r="I271" s="14" t="e">
        <f t="shared" si="25"/>
        <v>#DIV/0!</v>
      </c>
      <c r="J271" s="2">
        <f t="shared" si="26"/>
        <v>0</v>
      </c>
      <c r="K271" s="14" t="e">
        <f t="shared" si="27"/>
        <v>#DIV/0!</v>
      </c>
      <c r="L271" s="7" t="e">
        <f t="shared" si="28"/>
        <v>#DIV/0!</v>
      </c>
      <c r="M271" s="2" t="e">
        <f t="shared" si="29"/>
        <v>#DIV/0!</v>
      </c>
    </row>
    <row r="272" spans="8:13">
      <c r="H272" s="2">
        <f t="shared" si="24"/>
        <v>0</v>
      </c>
      <c r="I272" s="14" t="e">
        <f t="shared" si="25"/>
        <v>#DIV/0!</v>
      </c>
      <c r="J272" s="2">
        <f t="shared" si="26"/>
        <v>0</v>
      </c>
      <c r="K272" s="14" t="e">
        <f t="shared" si="27"/>
        <v>#DIV/0!</v>
      </c>
      <c r="L272" s="7" t="e">
        <f t="shared" si="28"/>
        <v>#DIV/0!</v>
      </c>
      <c r="M272" s="2" t="e">
        <f t="shared" si="29"/>
        <v>#DIV/0!</v>
      </c>
    </row>
    <row r="273" spans="8:13">
      <c r="H273" s="2">
        <f t="shared" si="24"/>
        <v>0</v>
      </c>
      <c r="I273" s="14" t="e">
        <f t="shared" si="25"/>
        <v>#DIV/0!</v>
      </c>
      <c r="J273" s="2">
        <f t="shared" si="26"/>
        <v>0</v>
      </c>
      <c r="K273" s="14" t="e">
        <f t="shared" si="27"/>
        <v>#DIV/0!</v>
      </c>
      <c r="L273" s="7" t="e">
        <f t="shared" si="28"/>
        <v>#DIV/0!</v>
      </c>
      <c r="M273" s="2" t="e">
        <f t="shared" si="29"/>
        <v>#DIV/0!</v>
      </c>
    </row>
    <row r="274" spans="8:13">
      <c r="H274" s="2">
        <f t="shared" si="24"/>
        <v>0</v>
      </c>
      <c r="I274" s="14" t="e">
        <f t="shared" si="25"/>
        <v>#DIV/0!</v>
      </c>
      <c r="J274" s="2">
        <f t="shared" si="26"/>
        <v>0</v>
      </c>
      <c r="K274" s="14" t="e">
        <f t="shared" si="27"/>
        <v>#DIV/0!</v>
      </c>
      <c r="L274" s="7" t="e">
        <f t="shared" si="28"/>
        <v>#DIV/0!</v>
      </c>
      <c r="M274" s="2" t="e">
        <f t="shared" si="29"/>
        <v>#DIV/0!</v>
      </c>
    </row>
    <row r="275" spans="8:13">
      <c r="H275" s="2">
        <f t="shared" si="24"/>
        <v>0</v>
      </c>
      <c r="I275" s="14" t="e">
        <f t="shared" si="25"/>
        <v>#DIV/0!</v>
      </c>
      <c r="J275" s="2">
        <f t="shared" si="26"/>
        <v>0</v>
      </c>
      <c r="K275" s="14" t="e">
        <f t="shared" si="27"/>
        <v>#DIV/0!</v>
      </c>
      <c r="L275" s="7" t="e">
        <f t="shared" si="28"/>
        <v>#DIV/0!</v>
      </c>
      <c r="M275" s="2" t="e">
        <f t="shared" si="29"/>
        <v>#DIV/0!</v>
      </c>
    </row>
    <row r="276" spans="8:13">
      <c r="H276" s="2">
        <f t="shared" si="24"/>
        <v>0</v>
      </c>
      <c r="I276" s="14" t="e">
        <f t="shared" si="25"/>
        <v>#DIV/0!</v>
      </c>
      <c r="J276" s="2">
        <f t="shared" si="26"/>
        <v>0</v>
      </c>
      <c r="K276" s="14" t="e">
        <f t="shared" si="27"/>
        <v>#DIV/0!</v>
      </c>
      <c r="L276" s="7" t="e">
        <f t="shared" si="28"/>
        <v>#DIV/0!</v>
      </c>
      <c r="M276" s="2" t="e">
        <f t="shared" si="29"/>
        <v>#DIV/0!</v>
      </c>
    </row>
    <row r="277" spans="8:13">
      <c r="H277" s="2">
        <f t="shared" si="24"/>
        <v>0</v>
      </c>
      <c r="I277" s="14" t="e">
        <f t="shared" si="25"/>
        <v>#DIV/0!</v>
      </c>
      <c r="J277" s="2">
        <f t="shared" si="26"/>
        <v>0</v>
      </c>
      <c r="K277" s="14" t="e">
        <f t="shared" si="27"/>
        <v>#DIV/0!</v>
      </c>
      <c r="L277" s="7" t="e">
        <f t="shared" si="28"/>
        <v>#DIV/0!</v>
      </c>
      <c r="M277" s="2" t="e">
        <f t="shared" si="29"/>
        <v>#DIV/0!</v>
      </c>
    </row>
    <row r="278" spans="8:13">
      <c r="H278" s="2">
        <f t="shared" si="24"/>
        <v>0</v>
      </c>
      <c r="I278" s="14" t="e">
        <f t="shared" si="25"/>
        <v>#DIV/0!</v>
      </c>
      <c r="J278" s="2">
        <f t="shared" si="26"/>
        <v>0</v>
      </c>
      <c r="K278" s="14" t="e">
        <f t="shared" si="27"/>
        <v>#DIV/0!</v>
      </c>
      <c r="L278" s="7" t="e">
        <f t="shared" si="28"/>
        <v>#DIV/0!</v>
      </c>
      <c r="M278" s="2" t="e">
        <f t="shared" si="29"/>
        <v>#DIV/0!</v>
      </c>
    </row>
    <row r="279" spans="8:13">
      <c r="H279" s="2">
        <f t="shared" si="24"/>
        <v>0</v>
      </c>
      <c r="I279" s="14" t="e">
        <f t="shared" si="25"/>
        <v>#DIV/0!</v>
      </c>
      <c r="J279" s="2">
        <f t="shared" si="26"/>
        <v>0</v>
      </c>
      <c r="K279" s="14" t="e">
        <f t="shared" si="27"/>
        <v>#DIV/0!</v>
      </c>
      <c r="L279" s="7" t="e">
        <f t="shared" si="28"/>
        <v>#DIV/0!</v>
      </c>
      <c r="M279" s="2" t="e">
        <f t="shared" si="29"/>
        <v>#DIV/0!</v>
      </c>
    </row>
    <row r="280" spans="8:13">
      <c r="H280" s="2">
        <f t="shared" si="24"/>
        <v>0</v>
      </c>
      <c r="I280" s="14" t="e">
        <f t="shared" si="25"/>
        <v>#DIV/0!</v>
      </c>
      <c r="J280" s="2">
        <f t="shared" si="26"/>
        <v>0</v>
      </c>
      <c r="K280" s="14" t="e">
        <f t="shared" si="27"/>
        <v>#DIV/0!</v>
      </c>
      <c r="L280" s="7" t="e">
        <f t="shared" si="28"/>
        <v>#DIV/0!</v>
      </c>
      <c r="M280" s="2" t="e">
        <f t="shared" si="29"/>
        <v>#DIV/0!</v>
      </c>
    </row>
    <row r="281" spans="8:13">
      <c r="H281" s="2">
        <f t="shared" si="24"/>
        <v>0</v>
      </c>
      <c r="I281" s="14" t="e">
        <f t="shared" si="25"/>
        <v>#DIV/0!</v>
      </c>
      <c r="J281" s="2">
        <f t="shared" si="26"/>
        <v>0</v>
      </c>
      <c r="K281" s="14" t="e">
        <f t="shared" si="27"/>
        <v>#DIV/0!</v>
      </c>
      <c r="L281" s="7" t="e">
        <f t="shared" si="28"/>
        <v>#DIV/0!</v>
      </c>
      <c r="M281" s="2" t="e">
        <f t="shared" si="29"/>
        <v>#DIV/0!</v>
      </c>
    </row>
    <row r="282" spans="8:13">
      <c r="H282" s="2">
        <f t="shared" si="24"/>
        <v>0</v>
      </c>
      <c r="I282" s="14" t="e">
        <f t="shared" si="25"/>
        <v>#DIV/0!</v>
      </c>
      <c r="J282" s="2">
        <f t="shared" si="26"/>
        <v>0</v>
      </c>
      <c r="K282" s="14" t="e">
        <f t="shared" si="27"/>
        <v>#DIV/0!</v>
      </c>
      <c r="L282" s="7" t="e">
        <f t="shared" si="28"/>
        <v>#DIV/0!</v>
      </c>
      <c r="M282" s="2" t="e">
        <f t="shared" si="29"/>
        <v>#DIV/0!</v>
      </c>
    </row>
    <row r="283" spans="8:13">
      <c r="H283" s="2">
        <f t="shared" si="24"/>
        <v>0</v>
      </c>
      <c r="I283" s="14" t="e">
        <f t="shared" si="25"/>
        <v>#DIV/0!</v>
      </c>
      <c r="J283" s="2">
        <f t="shared" si="26"/>
        <v>0</v>
      </c>
      <c r="K283" s="14" t="e">
        <f t="shared" si="27"/>
        <v>#DIV/0!</v>
      </c>
      <c r="L283" s="7" t="e">
        <f t="shared" si="28"/>
        <v>#DIV/0!</v>
      </c>
      <c r="M283" s="2" t="e">
        <f t="shared" si="29"/>
        <v>#DIV/0!</v>
      </c>
    </row>
    <row r="284" spans="8:13">
      <c r="H284" s="2">
        <f t="shared" si="24"/>
        <v>0</v>
      </c>
      <c r="I284" s="14" t="e">
        <f t="shared" si="25"/>
        <v>#DIV/0!</v>
      </c>
      <c r="J284" s="2">
        <f t="shared" si="26"/>
        <v>0</v>
      </c>
      <c r="K284" s="14" t="e">
        <f t="shared" si="27"/>
        <v>#DIV/0!</v>
      </c>
      <c r="L284" s="7" t="e">
        <f t="shared" si="28"/>
        <v>#DIV/0!</v>
      </c>
      <c r="M284" s="2" t="e">
        <f t="shared" si="29"/>
        <v>#DIV/0!</v>
      </c>
    </row>
    <row r="285" spans="8:13">
      <c r="H285" s="2">
        <f t="shared" si="24"/>
        <v>0</v>
      </c>
      <c r="I285" s="14" t="e">
        <f t="shared" si="25"/>
        <v>#DIV/0!</v>
      </c>
      <c r="J285" s="2">
        <f t="shared" si="26"/>
        <v>0</v>
      </c>
      <c r="K285" s="14" t="e">
        <f t="shared" si="27"/>
        <v>#DIV/0!</v>
      </c>
      <c r="L285" s="7" t="e">
        <f t="shared" si="28"/>
        <v>#DIV/0!</v>
      </c>
      <c r="M285" s="2" t="e">
        <f t="shared" si="29"/>
        <v>#DIV/0!</v>
      </c>
    </row>
    <row r="286" spans="8:13">
      <c r="H286" s="2">
        <f t="shared" si="24"/>
        <v>0</v>
      </c>
      <c r="I286" s="14" t="e">
        <f t="shared" si="25"/>
        <v>#DIV/0!</v>
      </c>
      <c r="J286" s="2">
        <f t="shared" si="26"/>
        <v>0</v>
      </c>
      <c r="K286" s="14" t="e">
        <f t="shared" si="27"/>
        <v>#DIV/0!</v>
      </c>
      <c r="L286" s="7" t="e">
        <f t="shared" si="28"/>
        <v>#DIV/0!</v>
      </c>
      <c r="M286" s="2" t="e">
        <f t="shared" si="29"/>
        <v>#DIV/0!</v>
      </c>
    </row>
    <row r="287" spans="8:13">
      <c r="H287" s="2">
        <f t="shared" si="24"/>
        <v>0</v>
      </c>
      <c r="I287" s="14" t="e">
        <f t="shared" si="25"/>
        <v>#DIV/0!</v>
      </c>
      <c r="J287" s="2">
        <f t="shared" si="26"/>
        <v>0</v>
      </c>
      <c r="K287" s="14" t="e">
        <f t="shared" si="27"/>
        <v>#DIV/0!</v>
      </c>
      <c r="L287" s="7" t="e">
        <f t="shared" si="28"/>
        <v>#DIV/0!</v>
      </c>
      <c r="M287" s="2" t="e">
        <f t="shared" si="29"/>
        <v>#DIV/0!</v>
      </c>
    </row>
    <row r="288" spans="8:13">
      <c r="H288" s="2">
        <f t="shared" si="24"/>
        <v>0</v>
      </c>
      <c r="I288" s="14" t="e">
        <f t="shared" si="25"/>
        <v>#DIV/0!</v>
      </c>
      <c r="J288" s="2">
        <f t="shared" si="26"/>
        <v>0</v>
      </c>
      <c r="K288" s="14" t="e">
        <f t="shared" si="27"/>
        <v>#DIV/0!</v>
      </c>
      <c r="L288" s="7" t="e">
        <f t="shared" si="28"/>
        <v>#DIV/0!</v>
      </c>
      <c r="M288" s="2" t="e">
        <f t="shared" si="29"/>
        <v>#DIV/0!</v>
      </c>
    </row>
    <row r="289" spans="8:13">
      <c r="H289" s="2">
        <f t="shared" si="24"/>
        <v>0</v>
      </c>
      <c r="I289" s="14" t="e">
        <f t="shared" si="25"/>
        <v>#DIV/0!</v>
      </c>
      <c r="J289" s="2">
        <f t="shared" si="26"/>
        <v>0</v>
      </c>
      <c r="K289" s="14" t="e">
        <f t="shared" si="27"/>
        <v>#DIV/0!</v>
      </c>
      <c r="L289" s="7" t="e">
        <f t="shared" si="28"/>
        <v>#DIV/0!</v>
      </c>
      <c r="M289" s="2" t="e">
        <f t="shared" si="29"/>
        <v>#DIV/0!</v>
      </c>
    </row>
    <row r="290" spans="8:13">
      <c r="H290" s="2">
        <f t="shared" si="24"/>
        <v>0</v>
      </c>
      <c r="I290" s="14" t="e">
        <f t="shared" si="25"/>
        <v>#DIV/0!</v>
      </c>
      <c r="J290" s="2">
        <f t="shared" si="26"/>
        <v>0</v>
      </c>
      <c r="K290" s="14" t="e">
        <f t="shared" si="27"/>
        <v>#DIV/0!</v>
      </c>
      <c r="L290" s="7" t="e">
        <f t="shared" si="28"/>
        <v>#DIV/0!</v>
      </c>
      <c r="M290" s="2" t="e">
        <f t="shared" si="29"/>
        <v>#DIV/0!</v>
      </c>
    </row>
    <row r="291" spans="8:13">
      <c r="H291" s="2">
        <f t="shared" si="24"/>
        <v>0</v>
      </c>
      <c r="I291" s="14" t="e">
        <f t="shared" si="25"/>
        <v>#DIV/0!</v>
      </c>
      <c r="J291" s="2">
        <f t="shared" si="26"/>
        <v>0</v>
      </c>
      <c r="K291" s="14" t="e">
        <f t="shared" si="27"/>
        <v>#DIV/0!</v>
      </c>
      <c r="L291" s="7" t="e">
        <f t="shared" si="28"/>
        <v>#DIV/0!</v>
      </c>
      <c r="M291" s="2" t="e">
        <f t="shared" si="29"/>
        <v>#DIV/0!</v>
      </c>
    </row>
    <row r="292" spans="8:13">
      <c r="H292" s="2">
        <f t="shared" si="24"/>
        <v>0</v>
      </c>
      <c r="I292" s="14" t="e">
        <f t="shared" si="25"/>
        <v>#DIV/0!</v>
      </c>
      <c r="J292" s="2">
        <f t="shared" si="26"/>
        <v>0</v>
      </c>
      <c r="K292" s="14" t="e">
        <f t="shared" si="27"/>
        <v>#DIV/0!</v>
      </c>
      <c r="L292" s="7" t="e">
        <f t="shared" si="28"/>
        <v>#DIV/0!</v>
      </c>
      <c r="M292" s="2" t="e">
        <f t="shared" si="29"/>
        <v>#DIV/0!</v>
      </c>
    </row>
    <row r="293" spans="8:13">
      <c r="H293" s="2">
        <f t="shared" si="24"/>
        <v>0</v>
      </c>
      <c r="I293" s="14" t="e">
        <f t="shared" si="25"/>
        <v>#DIV/0!</v>
      </c>
      <c r="J293" s="2">
        <f t="shared" si="26"/>
        <v>0</v>
      </c>
      <c r="K293" s="14" t="e">
        <f t="shared" si="27"/>
        <v>#DIV/0!</v>
      </c>
      <c r="L293" s="7" t="e">
        <f t="shared" si="28"/>
        <v>#DIV/0!</v>
      </c>
      <c r="M293" s="2" t="e">
        <f t="shared" si="29"/>
        <v>#DIV/0!</v>
      </c>
    </row>
    <row r="294" spans="8:13">
      <c r="H294" s="2">
        <f t="shared" si="24"/>
        <v>0</v>
      </c>
      <c r="I294" s="14" t="e">
        <f t="shared" si="25"/>
        <v>#DIV/0!</v>
      </c>
      <c r="J294" s="2">
        <f t="shared" si="26"/>
        <v>0</v>
      </c>
      <c r="K294" s="14" t="e">
        <f t="shared" si="27"/>
        <v>#DIV/0!</v>
      </c>
      <c r="L294" s="7" t="e">
        <f t="shared" si="28"/>
        <v>#DIV/0!</v>
      </c>
      <c r="M294" s="2" t="e">
        <f t="shared" si="29"/>
        <v>#DIV/0!</v>
      </c>
    </row>
    <row r="295" spans="8:13">
      <c r="H295" s="2">
        <f t="shared" si="24"/>
        <v>0</v>
      </c>
      <c r="I295" s="14" t="e">
        <f t="shared" si="25"/>
        <v>#DIV/0!</v>
      </c>
      <c r="J295" s="2">
        <f t="shared" si="26"/>
        <v>0</v>
      </c>
      <c r="K295" s="14" t="e">
        <f t="shared" si="27"/>
        <v>#DIV/0!</v>
      </c>
      <c r="L295" s="7" t="e">
        <f t="shared" si="28"/>
        <v>#DIV/0!</v>
      </c>
      <c r="M295" s="2" t="e">
        <f t="shared" si="29"/>
        <v>#DIV/0!</v>
      </c>
    </row>
    <row r="296" spans="8:13">
      <c r="H296" s="2">
        <f t="shared" si="24"/>
        <v>0</v>
      </c>
      <c r="I296" s="14" t="e">
        <f t="shared" si="25"/>
        <v>#DIV/0!</v>
      </c>
      <c r="J296" s="2">
        <f t="shared" si="26"/>
        <v>0</v>
      </c>
      <c r="K296" s="14" t="e">
        <f t="shared" si="27"/>
        <v>#DIV/0!</v>
      </c>
      <c r="L296" s="7" t="e">
        <f t="shared" si="28"/>
        <v>#DIV/0!</v>
      </c>
      <c r="M296" s="2" t="e">
        <f t="shared" si="29"/>
        <v>#DIV/0!</v>
      </c>
    </row>
    <row r="297" spans="8:13">
      <c r="H297" s="2">
        <f t="shared" si="24"/>
        <v>0</v>
      </c>
      <c r="I297" s="14" t="e">
        <f t="shared" si="25"/>
        <v>#DIV/0!</v>
      </c>
      <c r="J297" s="2">
        <f t="shared" si="26"/>
        <v>0</v>
      </c>
      <c r="K297" s="14" t="e">
        <f t="shared" si="27"/>
        <v>#DIV/0!</v>
      </c>
      <c r="L297" s="7" t="e">
        <f t="shared" si="28"/>
        <v>#DIV/0!</v>
      </c>
      <c r="M297" s="2" t="e">
        <f t="shared" si="29"/>
        <v>#DIV/0!</v>
      </c>
    </row>
    <row r="298" spans="8:13">
      <c r="H298" s="2">
        <f t="shared" si="24"/>
        <v>0</v>
      </c>
      <c r="I298" s="14" t="e">
        <f t="shared" si="25"/>
        <v>#DIV/0!</v>
      </c>
      <c r="J298" s="2">
        <f t="shared" si="26"/>
        <v>0</v>
      </c>
      <c r="K298" s="14" t="e">
        <f t="shared" si="27"/>
        <v>#DIV/0!</v>
      </c>
      <c r="L298" s="7" t="e">
        <f t="shared" si="28"/>
        <v>#DIV/0!</v>
      </c>
      <c r="M298" s="2" t="e">
        <f t="shared" si="29"/>
        <v>#DIV/0!</v>
      </c>
    </row>
    <row r="299" spans="8:13">
      <c r="H299" s="2">
        <f t="shared" si="24"/>
        <v>0</v>
      </c>
      <c r="I299" s="14" t="e">
        <f t="shared" si="25"/>
        <v>#DIV/0!</v>
      </c>
      <c r="J299" s="2">
        <f t="shared" si="26"/>
        <v>0</v>
      </c>
      <c r="K299" s="14" t="e">
        <f t="shared" si="27"/>
        <v>#DIV/0!</v>
      </c>
      <c r="L299" s="7" t="e">
        <f t="shared" si="28"/>
        <v>#DIV/0!</v>
      </c>
      <c r="M299" s="2" t="e">
        <f t="shared" si="29"/>
        <v>#DIV/0!</v>
      </c>
    </row>
    <row r="300" spans="8:13">
      <c r="H300" s="2">
        <f t="shared" si="24"/>
        <v>0</v>
      </c>
      <c r="I300" s="14" t="e">
        <f t="shared" si="25"/>
        <v>#DIV/0!</v>
      </c>
      <c r="J300" s="2">
        <f t="shared" si="26"/>
        <v>0</v>
      </c>
      <c r="K300" s="14" t="e">
        <f t="shared" si="27"/>
        <v>#DIV/0!</v>
      </c>
      <c r="L300" s="7" t="e">
        <f t="shared" si="28"/>
        <v>#DIV/0!</v>
      </c>
      <c r="M300" s="2" t="e">
        <f t="shared" si="29"/>
        <v>#DIV/0!</v>
      </c>
    </row>
    <row r="301" spans="8:13">
      <c r="H301" s="2">
        <f t="shared" si="24"/>
        <v>0</v>
      </c>
      <c r="I301" s="14" t="e">
        <f t="shared" si="25"/>
        <v>#DIV/0!</v>
      </c>
      <c r="J301" s="2">
        <f t="shared" si="26"/>
        <v>0</v>
      </c>
      <c r="K301" s="14" t="e">
        <f t="shared" si="27"/>
        <v>#DIV/0!</v>
      </c>
      <c r="L301" s="7" t="e">
        <f t="shared" si="28"/>
        <v>#DIV/0!</v>
      </c>
      <c r="M301" s="2" t="e">
        <f t="shared" si="29"/>
        <v>#DIV/0!</v>
      </c>
    </row>
    <row r="302" spans="8:13">
      <c r="H302" s="2">
        <f t="shared" si="24"/>
        <v>0</v>
      </c>
      <c r="I302" s="14" t="e">
        <f t="shared" si="25"/>
        <v>#DIV/0!</v>
      </c>
      <c r="J302" s="2">
        <f t="shared" si="26"/>
        <v>0</v>
      </c>
      <c r="K302" s="14" t="e">
        <f t="shared" si="27"/>
        <v>#DIV/0!</v>
      </c>
      <c r="L302" s="7" t="e">
        <f t="shared" si="28"/>
        <v>#DIV/0!</v>
      </c>
      <c r="M302" s="2" t="e">
        <f t="shared" si="29"/>
        <v>#DIV/0!</v>
      </c>
    </row>
    <row r="303" spans="8:13">
      <c r="H303" s="2">
        <f t="shared" si="24"/>
        <v>0</v>
      </c>
      <c r="I303" s="14" t="e">
        <f t="shared" si="25"/>
        <v>#DIV/0!</v>
      </c>
      <c r="J303" s="2">
        <f t="shared" si="26"/>
        <v>0</v>
      </c>
      <c r="K303" s="14" t="e">
        <f t="shared" si="27"/>
        <v>#DIV/0!</v>
      </c>
      <c r="L303" s="7" t="e">
        <f t="shared" si="28"/>
        <v>#DIV/0!</v>
      </c>
      <c r="M303" s="2" t="e">
        <f t="shared" si="29"/>
        <v>#DIV/0!</v>
      </c>
    </row>
    <row r="304" spans="8:13">
      <c r="H304" s="2">
        <f t="shared" si="24"/>
        <v>0</v>
      </c>
      <c r="I304" s="14" t="e">
        <f t="shared" si="25"/>
        <v>#DIV/0!</v>
      </c>
      <c r="J304" s="2">
        <f t="shared" si="26"/>
        <v>0</v>
      </c>
      <c r="K304" s="14" t="e">
        <f t="shared" si="27"/>
        <v>#DIV/0!</v>
      </c>
      <c r="L304" s="7" t="e">
        <f t="shared" si="28"/>
        <v>#DIV/0!</v>
      </c>
      <c r="M304" s="2" t="e">
        <f t="shared" si="29"/>
        <v>#DIV/0!</v>
      </c>
    </row>
    <row r="305" spans="8:13">
      <c r="H305" s="2">
        <f t="shared" si="24"/>
        <v>0</v>
      </c>
      <c r="I305" s="14" t="e">
        <f t="shared" si="25"/>
        <v>#DIV/0!</v>
      </c>
      <c r="J305" s="2">
        <f t="shared" si="26"/>
        <v>0</v>
      </c>
      <c r="K305" s="14" t="e">
        <f t="shared" si="27"/>
        <v>#DIV/0!</v>
      </c>
      <c r="L305" s="7" t="e">
        <f t="shared" si="28"/>
        <v>#DIV/0!</v>
      </c>
      <c r="M305" s="2" t="e">
        <f t="shared" si="29"/>
        <v>#DIV/0!</v>
      </c>
    </row>
    <row r="306" spans="8:13">
      <c r="H306" s="2">
        <f t="shared" si="24"/>
        <v>0</v>
      </c>
      <c r="I306" s="14" t="e">
        <f t="shared" si="25"/>
        <v>#DIV/0!</v>
      </c>
      <c r="J306" s="2">
        <f t="shared" si="26"/>
        <v>0</v>
      </c>
      <c r="K306" s="14" t="e">
        <f t="shared" si="27"/>
        <v>#DIV/0!</v>
      </c>
      <c r="L306" s="7" t="e">
        <f t="shared" si="28"/>
        <v>#DIV/0!</v>
      </c>
      <c r="M306" s="2" t="e">
        <f t="shared" si="29"/>
        <v>#DIV/0!</v>
      </c>
    </row>
    <row r="307" spans="8:13">
      <c r="H307" s="2">
        <f t="shared" si="24"/>
        <v>0</v>
      </c>
      <c r="I307" s="14" t="e">
        <f t="shared" si="25"/>
        <v>#DIV/0!</v>
      </c>
      <c r="J307" s="2">
        <f t="shared" si="26"/>
        <v>0</v>
      </c>
      <c r="K307" s="14" t="e">
        <f t="shared" si="27"/>
        <v>#DIV/0!</v>
      </c>
      <c r="L307" s="7" t="e">
        <f t="shared" si="28"/>
        <v>#DIV/0!</v>
      </c>
      <c r="M307" s="2" t="e">
        <f t="shared" si="29"/>
        <v>#DIV/0!</v>
      </c>
    </row>
    <row r="308" spans="8:13">
      <c r="H308" s="2">
        <f t="shared" si="24"/>
        <v>0</v>
      </c>
      <c r="I308" s="14" t="e">
        <f t="shared" si="25"/>
        <v>#DIV/0!</v>
      </c>
      <c r="J308" s="2">
        <f t="shared" si="26"/>
        <v>0</v>
      </c>
      <c r="K308" s="14" t="e">
        <f t="shared" si="27"/>
        <v>#DIV/0!</v>
      </c>
      <c r="L308" s="7" t="e">
        <f t="shared" si="28"/>
        <v>#DIV/0!</v>
      </c>
      <c r="M308" s="2" t="e">
        <f t="shared" si="29"/>
        <v>#DIV/0!</v>
      </c>
    </row>
    <row r="309" spans="8:13">
      <c r="H309" s="2">
        <f t="shared" si="24"/>
        <v>0</v>
      </c>
      <c r="I309" s="14" t="e">
        <f t="shared" si="25"/>
        <v>#DIV/0!</v>
      </c>
      <c r="J309" s="2">
        <f t="shared" si="26"/>
        <v>0</v>
      </c>
      <c r="K309" s="14" t="e">
        <f t="shared" si="27"/>
        <v>#DIV/0!</v>
      </c>
      <c r="L309" s="7" t="e">
        <f t="shared" si="28"/>
        <v>#DIV/0!</v>
      </c>
      <c r="M309" s="2" t="e">
        <f t="shared" si="29"/>
        <v>#DIV/0!</v>
      </c>
    </row>
    <row r="310" spans="8:13">
      <c r="H310" s="2">
        <f t="shared" si="24"/>
        <v>0</v>
      </c>
      <c r="I310" s="14" t="e">
        <f t="shared" si="25"/>
        <v>#DIV/0!</v>
      </c>
      <c r="J310" s="2">
        <f t="shared" si="26"/>
        <v>0</v>
      </c>
      <c r="K310" s="14" t="e">
        <f t="shared" si="27"/>
        <v>#DIV/0!</v>
      </c>
      <c r="L310" s="7" t="e">
        <f t="shared" si="28"/>
        <v>#DIV/0!</v>
      </c>
      <c r="M310" s="2" t="e">
        <f t="shared" si="29"/>
        <v>#DIV/0!</v>
      </c>
    </row>
    <row r="311" spans="8:13">
      <c r="H311" s="2">
        <f t="shared" si="24"/>
        <v>0</v>
      </c>
      <c r="I311" s="14" t="e">
        <f t="shared" si="25"/>
        <v>#DIV/0!</v>
      </c>
      <c r="J311" s="2">
        <f t="shared" si="26"/>
        <v>0</v>
      </c>
      <c r="K311" s="14" t="e">
        <f t="shared" si="27"/>
        <v>#DIV/0!</v>
      </c>
      <c r="L311" s="7" t="e">
        <f t="shared" si="28"/>
        <v>#DIV/0!</v>
      </c>
      <c r="M311" s="2" t="e">
        <f t="shared" si="29"/>
        <v>#DIV/0!</v>
      </c>
    </row>
    <row r="312" spans="8:13">
      <c r="H312" s="2">
        <f t="shared" si="24"/>
        <v>0</v>
      </c>
      <c r="I312" s="14" t="e">
        <f t="shared" si="25"/>
        <v>#DIV/0!</v>
      </c>
      <c r="J312" s="2">
        <f t="shared" si="26"/>
        <v>0</v>
      </c>
      <c r="K312" s="14" t="e">
        <f t="shared" si="27"/>
        <v>#DIV/0!</v>
      </c>
      <c r="L312" s="7" t="e">
        <f t="shared" si="28"/>
        <v>#DIV/0!</v>
      </c>
      <c r="M312" s="2" t="e">
        <f t="shared" si="29"/>
        <v>#DIV/0!</v>
      </c>
    </row>
    <row r="313" spans="8:13">
      <c r="H313" s="2">
        <f t="shared" si="24"/>
        <v>0</v>
      </c>
      <c r="I313" s="14" t="e">
        <f t="shared" si="25"/>
        <v>#DIV/0!</v>
      </c>
      <c r="J313" s="2">
        <f t="shared" si="26"/>
        <v>0</v>
      </c>
      <c r="K313" s="14" t="e">
        <f t="shared" si="27"/>
        <v>#DIV/0!</v>
      </c>
      <c r="L313" s="7" t="e">
        <f t="shared" si="28"/>
        <v>#DIV/0!</v>
      </c>
      <c r="M313" s="2" t="e">
        <f t="shared" si="29"/>
        <v>#DIV/0!</v>
      </c>
    </row>
    <row r="314" spans="8:13">
      <c r="H314" s="2">
        <f t="shared" si="24"/>
        <v>0</v>
      </c>
      <c r="I314" s="14" t="e">
        <f t="shared" si="25"/>
        <v>#DIV/0!</v>
      </c>
      <c r="J314" s="2">
        <f t="shared" si="26"/>
        <v>0</v>
      </c>
      <c r="K314" s="14" t="e">
        <f t="shared" si="27"/>
        <v>#DIV/0!</v>
      </c>
      <c r="L314" s="7" t="e">
        <f t="shared" si="28"/>
        <v>#DIV/0!</v>
      </c>
      <c r="M314" s="2" t="e">
        <f t="shared" si="29"/>
        <v>#DIV/0!</v>
      </c>
    </row>
    <row r="315" spans="8:13">
      <c r="H315" s="2">
        <f t="shared" si="24"/>
        <v>0</v>
      </c>
      <c r="I315" s="14" t="e">
        <f t="shared" si="25"/>
        <v>#DIV/0!</v>
      </c>
      <c r="J315" s="2">
        <f t="shared" si="26"/>
        <v>0</v>
      </c>
      <c r="K315" s="14" t="e">
        <f t="shared" si="27"/>
        <v>#DIV/0!</v>
      </c>
      <c r="L315" s="7" t="e">
        <f t="shared" si="28"/>
        <v>#DIV/0!</v>
      </c>
      <c r="M315" s="2" t="e">
        <f t="shared" si="29"/>
        <v>#DIV/0!</v>
      </c>
    </row>
    <row r="316" spans="8:13">
      <c r="H316" s="2">
        <f t="shared" si="24"/>
        <v>0</v>
      </c>
      <c r="I316" s="14" t="e">
        <f t="shared" si="25"/>
        <v>#DIV/0!</v>
      </c>
      <c r="J316" s="2">
        <f t="shared" si="26"/>
        <v>0</v>
      </c>
      <c r="K316" s="14" t="e">
        <f t="shared" si="27"/>
        <v>#DIV/0!</v>
      </c>
      <c r="L316" s="7" t="e">
        <f t="shared" si="28"/>
        <v>#DIV/0!</v>
      </c>
      <c r="M316" s="2" t="e">
        <f t="shared" si="29"/>
        <v>#DIV/0!</v>
      </c>
    </row>
    <row r="317" spans="8:13">
      <c r="H317" s="2">
        <f t="shared" si="24"/>
        <v>0</v>
      </c>
      <c r="I317" s="14" t="e">
        <f t="shared" si="25"/>
        <v>#DIV/0!</v>
      </c>
      <c r="J317" s="2">
        <f t="shared" si="26"/>
        <v>0</v>
      </c>
      <c r="K317" s="14" t="e">
        <f t="shared" si="27"/>
        <v>#DIV/0!</v>
      </c>
      <c r="L317" s="7" t="e">
        <f t="shared" si="28"/>
        <v>#DIV/0!</v>
      </c>
      <c r="M317" s="2" t="e">
        <f t="shared" si="29"/>
        <v>#DIV/0!</v>
      </c>
    </row>
    <row r="318" spans="8:13">
      <c r="H318" s="2">
        <f t="shared" si="24"/>
        <v>0</v>
      </c>
      <c r="I318" s="14" t="e">
        <f t="shared" si="25"/>
        <v>#DIV/0!</v>
      </c>
      <c r="J318" s="2">
        <f t="shared" si="26"/>
        <v>0</v>
      </c>
      <c r="K318" s="14" t="e">
        <f t="shared" si="27"/>
        <v>#DIV/0!</v>
      </c>
      <c r="L318" s="7" t="e">
        <f t="shared" si="28"/>
        <v>#DIV/0!</v>
      </c>
      <c r="M318" s="2" t="e">
        <f t="shared" si="29"/>
        <v>#DIV/0!</v>
      </c>
    </row>
    <row r="319" spans="8:13">
      <c r="H319" s="2">
        <f t="shared" si="24"/>
        <v>0</v>
      </c>
      <c r="I319" s="14" t="e">
        <f t="shared" si="25"/>
        <v>#DIV/0!</v>
      </c>
      <c r="J319" s="2">
        <f t="shared" si="26"/>
        <v>0</v>
      </c>
      <c r="K319" s="14" t="e">
        <f t="shared" si="27"/>
        <v>#DIV/0!</v>
      </c>
      <c r="L319" s="7" t="e">
        <f t="shared" si="28"/>
        <v>#DIV/0!</v>
      </c>
      <c r="M319" s="2" t="e">
        <f t="shared" si="29"/>
        <v>#DIV/0!</v>
      </c>
    </row>
    <row r="320" spans="8:13">
      <c r="H320" s="2">
        <f t="shared" si="24"/>
        <v>0</v>
      </c>
      <c r="I320" s="14" t="e">
        <f t="shared" si="25"/>
        <v>#DIV/0!</v>
      </c>
      <c r="J320" s="2">
        <f t="shared" si="26"/>
        <v>0</v>
      </c>
      <c r="K320" s="14" t="e">
        <f t="shared" si="27"/>
        <v>#DIV/0!</v>
      </c>
      <c r="L320" s="7" t="e">
        <f t="shared" si="28"/>
        <v>#DIV/0!</v>
      </c>
      <c r="M320" s="2" t="e">
        <f t="shared" si="29"/>
        <v>#DIV/0!</v>
      </c>
    </row>
    <row r="321" spans="8:13">
      <c r="H321" s="2">
        <f t="shared" si="24"/>
        <v>0</v>
      </c>
      <c r="I321" s="14" t="e">
        <f t="shared" si="25"/>
        <v>#DIV/0!</v>
      </c>
      <c r="J321" s="2">
        <f t="shared" si="26"/>
        <v>0</v>
      </c>
      <c r="K321" s="14" t="e">
        <f t="shared" si="27"/>
        <v>#DIV/0!</v>
      </c>
      <c r="L321" s="7" t="e">
        <f t="shared" si="28"/>
        <v>#DIV/0!</v>
      </c>
      <c r="M321" s="2" t="e">
        <f t="shared" si="29"/>
        <v>#DIV/0!</v>
      </c>
    </row>
    <row r="322" spans="8:13">
      <c r="H322" s="2">
        <f t="shared" si="24"/>
        <v>0</v>
      </c>
      <c r="I322" s="14" t="e">
        <f t="shared" si="25"/>
        <v>#DIV/0!</v>
      </c>
      <c r="J322" s="2">
        <f t="shared" si="26"/>
        <v>0</v>
      </c>
      <c r="K322" s="14" t="e">
        <f t="shared" si="27"/>
        <v>#DIV/0!</v>
      </c>
      <c r="L322" s="7" t="e">
        <f t="shared" si="28"/>
        <v>#DIV/0!</v>
      </c>
      <c r="M322" s="2" t="e">
        <f t="shared" si="29"/>
        <v>#DIV/0!</v>
      </c>
    </row>
    <row r="323" spans="8:13">
      <c r="H323" s="2">
        <f t="shared" si="24"/>
        <v>0</v>
      </c>
      <c r="I323" s="14" t="e">
        <f t="shared" si="25"/>
        <v>#DIV/0!</v>
      </c>
      <c r="J323" s="2">
        <f t="shared" si="26"/>
        <v>0</v>
      </c>
      <c r="K323" s="14" t="e">
        <f t="shared" si="27"/>
        <v>#DIV/0!</v>
      </c>
      <c r="L323" s="7" t="e">
        <f t="shared" si="28"/>
        <v>#DIV/0!</v>
      </c>
      <c r="M323" s="2" t="e">
        <f t="shared" si="29"/>
        <v>#DIV/0!</v>
      </c>
    </row>
    <row r="324" spans="8:13">
      <c r="H324" s="2">
        <f t="shared" si="24"/>
        <v>0</v>
      </c>
      <c r="I324" s="14" t="e">
        <f t="shared" si="25"/>
        <v>#DIV/0!</v>
      </c>
      <c r="J324" s="2">
        <f t="shared" si="26"/>
        <v>0</v>
      </c>
      <c r="K324" s="14" t="e">
        <f t="shared" si="27"/>
        <v>#DIV/0!</v>
      </c>
      <c r="L324" s="7" t="e">
        <f t="shared" si="28"/>
        <v>#DIV/0!</v>
      </c>
      <c r="M324" s="2" t="e">
        <f t="shared" si="29"/>
        <v>#DIV/0!</v>
      </c>
    </row>
    <row r="325" spans="8:13">
      <c r="H325" s="2">
        <f t="shared" si="24"/>
        <v>0</v>
      </c>
      <c r="I325" s="14" t="e">
        <f t="shared" si="25"/>
        <v>#DIV/0!</v>
      </c>
      <c r="J325" s="2">
        <f t="shared" si="26"/>
        <v>0</v>
      </c>
      <c r="K325" s="14" t="e">
        <f t="shared" si="27"/>
        <v>#DIV/0!</v>
      </c>
      <c r="L325" s="7" t="e">
        <f t="shared" si="28"/>
        <v>#DIV/0!</v>
      </c>
      <c r="M325" s="2" t="e">
        <f t="shared" si="29"/>
        <v>#DIV/0!</v>
      </c>
    </row>
    <row r="326" spans="8:13">
      <c r="H326" s="2">
        <f t="shared" ref="H326:H383" si="30">F326-F325</f>
        <v>0</v>
      </c>
      <c r="I326" s="14" t="e">
        <f t="shared" ref="I326:I389" si="31">H326/F325</f>
        <v>#DIV/0!</v>
      </c>
      <c r="J326" s="2">
        <f t="shared" ref="J326:J383" si="32">G326-G325</f>
        <v>0</v>
      </c>
      <c r="K326" s="14" t="e">
        <f t="shared" ref="K326:K389" si="33">J326/G325</f>
        <v>#DIV/0!</v>
      </c>
      <c r="L326" s="7" t="e">
        <f t="shared" si="28"/>
        <v>#DIV/0!</v>
      </c>
      <c r="M326" s="2" t="e">
        <f t="shared" si="29"/>
        <v>#DIV/0!</v>
      </c>
    </row>
    <row r="327" spans="8:13">
      <c r="H327" s="2">
        <f t="shared" si="30"/>
        <v>0</v>
      </c>
      <c r="I327" s="14" t="e">
        <f t="shared" si="31"/>
        <v>#DIV/0!</v>
      </c>
      <c r="J327" s="2">
        <f t="shared" si="32"/>
        <v>0</v>
      </c>
      <c r="K327" s="14" t="e">
        <f t="shared" si="33"/>
        <v>#DIV/0!</v>
      </c>
      <c r="L327" s="7" t="e">
        <f t="shared" ref="L327:L383" si="34">IF(AND(E327&gt;$T$4,I327&gt;$N$1),"BEARISH",IF(AND(E327&lt;$T$3,I327&gt;$N$1),"BULLISH",""))</f>
        <v>#DIV/0!</v>
      </c>
      <c r="M327" s="2" t="e">
        <f t="shared" ref="M327:M383" si="35">IF(AND(E327&gt;$T$3,E326&lt;$T$44,I327&gt;$N$2),"BEARISH REVERESAL",IF(AND(E327&lt;$T$4,E326&gt;$T$3,I327&gt;$N$2),"BULLISH REVERESAL",""))</f>
        <v>#DIV/0!</v>
      </c>
    </row>
    <row r="328" spans="8:13">
      <c r="H328" s="2">
        <f t="shared" si="30"/>
        <v>0</v>
      </c>
      <c r="I328" s="14" t="e">
        <f t="shared" si="31"/>
        <v>#DIV/0!</v>
      </c>
      <c r="J328" s="2">
        <f t="shared" si="32"/>
        <v>0</v>
      </c>
      <c r="K328" s="14" t="e">
        <f t="shared" si="33"/>
        <v>#DIV/0!</v>
      </c>
      <c r="L328" s="7" t="e">
        <f t="shared" si="34"/>
        <v>#DIV/0!</v>
      </c>
      <c r="M328" s="2" t="e">
        <f t="shared" si="35"/>
        <v>#DIV/0!</v>
      </c>
    </row>
    <row r="329" spans="8:13">
      <c r="H329" s="2">
        <f t="shared" si="30"/>
        <v>0</v>
      </c>
      <c r="I329" s="14" t="e">
        <f t="shared" si="31"/>
        <v>#DIV/0!</v>
      </c>
      <c r="J329" s="2">
        <f t="shared" si="32"/>
        <v>0</v>
      </c>
      <c r="K329" s="14" t="e">
        <f t="shared" si="33"/>
        <v>#DIV/0!</v>
      </c>
      <c r="L329" s="7" t="e">
        <f t="shared" si="34"/>
        <v>#DIV/0!</v>
      </c>
      <c r="M329" s="2" t="e">
        <f t="shared" si="35"/>
        <v>#DIV/0!</v>
      </c>
    </row>
    <row r="330" spans="8:13">
      <c r="H330" s="2">
        <f t="shared" si="30"/>
        <v>0</v>
      </c>
      <c r="I330" s="14" t="e">
        <f t="shared" si="31"/>
        <v>#DIV/0!</v>
      </c>
      <c r="J330" s="2">
        <f t="shared" si="32"/>
        <v>0</v>
      </c>
      <c r="K330" s="14" t="e">
        <f t="shared" si="33"/>
        <v>#DIV/0!</v>
      </c>
      <c r="L330" s="7" t="e">
        <f t="shared" si="34"/>
        <v>#DIV/0!</v>
      </c>
      <c r="M330" s="2" t="e">
        <f t="shared" si="35"/>
        <v>#DIV/0!</v>
      </c>
    </row>
    <row r="331" spans="8:13">
      <c r="H331" s="2">
        <f t="shared" si="30"/>
        <v>0</v>
      </c>
      <c r="I331" s="14" t="e">
        <f t="shared" si="31"/>
        <v>#DIV/0!</v>
      </c>
      <c r="J331" s="2">
        <f t="shared" si="32"/>
        <v>0</v>
      </c>
      <c r="K331" s="14" t="e">
        <f t="shared" si="33"/>
        <v>#DIV/0!</v>
      </c>
      <c r="L331" s="7" t="e">
        <f t="shared" si="34"/>
        <v>#DIV/0!</v>
      </c>
      <c r="M331" s="2" t="e">
        <f t="shared" si="35"/>
        <v>#DIV/0!</v>
      </c>
    </row>
    <row r="332" spans="8:13">
      <c r="H332" s="2">
        <f t="shared" si="30"/>
        <v>0</v>
      </c>
      <c r="I332" s="14" t="e">
        <f t="shared" si="31"/>
        <v>#DIV/0!</v>
      </c>
      <c r="J332" s="2">
        <f t="shared" si="32"/>
        <v>0</v>
      </c>
      <c r="K332" s="14" t="e">
        <f t="shared" si="33"/>
        <v>#DIV/0!</v>
      </c>
      <c r="L332" s="7" t="e">
        <f t="shared" si="34"/>
        <v>#DIV/0!</v>
      </c>
      <c r="M332" s="2" t="e">
        <f t="shared" si="35"/>
        <v>#DIV/0!</v>
      </c>
    </row>
    <row r="333" spans="8:13">
      <c r="H333" s="2">
        <f t="shared" si="30"/>
        <v>0</v>
      </c>
      <c r="I333" s="14" t="e">
        <f t="shared" si="31"/>
        <v>#DIV/0!</v>
      </c>
      <c r="J333" s="2">
        <f t="shared" si="32"/>
        <v>0</v>
      </c>
      <c r="K333" s="14" t="e">
        <f t="shared" si="33"/>
        <v>#DIV/0!</v>
      </c>
      <c r="L333" s="7" t="e">
        <f t="shared" si="34"/>
        <v>#DIV/0!</v>
      </c>
      <c r="M333" s="2" t="e">
        <f t="shared" si="35"/>
        <v>#DIV/0!</v>
      </c>
    </row>
    <row r="334" spans="8:13">
      <c r="H334" s="2">
        <f t="shared" si="30"/>
        <v>0</v>
      </c>
      <c r="I334" s="14" t="e">
        <f t="shared" si="31"/>
        <v>#DIV/0!</v>
      </c>
      <c r="J334" s="2">
        <f t="shared" si="32"/>
        <v>0</v>
      </c>
      <c r="K334" s="14" t="e">
        <f t="shared" si="33"/>
        <v>#DIV/0!</v>
      </c>
      <c r="L334" s="7" t="e">
        <f t="shared" si="34"/>
        <v>#DIV/0!</v>
      </c>
      <c r="M334" s="2" t="e">
        <f t="shared" si="35"/>
        <v>#DIV/0!</v>
      </c>
    </row>
    <row r="335" spans="8:13">
      <c r="H335" s="2">
        <f t="shared" si="30"/>
        <v>0</v>
      </c>
      <c r="I335" s="14" t="e">
        <f t="shared" si="31"/>
        <v>#DIV/0!</v>
      </c>
      <c r="J335" s="2">
        <f t="shared" si="32"/>
        <v>0</v>
      </c>
      <c r="K335" s="14" t="e">
        <f t="shared" si="33"/>
        <v>#DIV/0!</v>
      </c>
      <c r="L335" s="7" t="e">
        <f t="shared" si="34"/>
        <v>#DIV/0!</v>
      </c>
      <c r="M335" s="2" t="e">
        <f t="shared" si="35"/>
        <v>#DIV/0!</v>
      </c>
    </row>
    <row r="336" spans="8:13">
      <c r="H336" s="2">
        <f t="shared" si="30"/>
        <v>0</v>
      </c>
      <c r="I336" s="14" t="e">
        <f t="shared" si="31"/>
        <v>#DIV/0!</v>
      </c>
      <c r="J336" s="2">
        <f t="shared" si="32"/>
        <v>0</v>
      </c>
      <c r="K336" s="14" t="e">
        <f t="shared" si="33"/>
        <v>#DIV/0!</v>
      </c>
      <c r="L336" s="7" t="e">
        <f t="shared" si="34"/>
        <v>#DIV/0!</v>
      </c>
      <c r="M336" s="2" t="e">
        <f t="shared" si="35"/>
        <v>#DIV/0!</v>
      </c>
    </row>
    <row r="337" spans="8:13">
      <c r="H337" s="2">
        <f t="shared" si="30"/>
        <v>0</v>
      </c>
      <c r="I337" s="14" t="e">
        <f t="shared" si="31"/>
        <v>#DIV/0!</v>
      </c>
      <c r="J337" s="2">
        <f t="shared" si="32"/>
        <v>0</v>
      </c>
      <c r="K337" s="14" t="e">
        <f t="shared" si="33"/>
        <v>#DIV/0!</v>
      </c>
      <c r="L337" s="7" t="e">
        <f t="shared" si="34"/>
        <v>#DIV/0!</v>
      </c>
      <c r="M337" s="2" t="e">
        <f t="shared" si="35"/>
        <v>#DIV/0!</v>
      </c>
    </row>
    <row r="338" spans="8:13">
      <c r="H338" s="2">
        <f t="shared" si="30"/>
        <v>0</v>
      </c>
      <c r="I338" s="14" t="e">
        <f t="shared" si="31"/>
        <v>#DIV/0!</v>
      </c>
      <c r="J338" s="2">
        <f t="shared" si="32"/>
        <v>0</v>
      </c>
      <c r="K338" s="14" t="e">
        <f t="shared" si="33"/>
        <v>#DIV/0!</v>
      </c>
      <c r="L338" s="7" t="e">
        <f t="shared" si="34"/>
        <v>#DIV/0!</v>
      </c>
      <c r="M338" s="2" t="e">
        <f t="shared" si="35"/>
        <v>#DIV/0!</v>
      </c>
    </row>
    <row r="339" spans="8:13">
      <c r="H339" s="2">
        <f t="shared" si="30"/>
        <v>0</v>
      </c>
      <c r="I339" s="14" t="e">
        <f t="shared" si="31"/>
        <v>#DIV/0!</v>
      </c>
      <c r="J339" s="2">
        <f t="shared" si="32"/>
        <v>0</v>
      </c>
      <c r="K339" s="14" t="e">
        <f t="shared" si="33"/>
        <v>#DIV/0!</v>
      </c>
      <c r="L339" s="7" t="e">
        <f t="shared" si="34"/>
        <v>#DIV/0!</v>
      </c>
      <c r="M339" s="2" t="e">
        <f t="shared" si="35"/>
        <v>#DIV/0!</v>
      </c>
    </row>
    <row r="340" spans="8:13">
      <c r="H340" s="2">
        <f t="shared" si="30"/>
        <v>0</v>
      </c>
      <c r="I340" s="14" t="e">
        <f t="shared" si="31"/>
        <v>#DIV/0!</v>
      </c>
      <c r="J340" s="2">
        <f t="shared" si="32"/>
        <v>0</v>
      </c>
      <c r="K340" s="14" t="e">
        <f t="shared" si="33"/>
        <v>#DIV/0!</v>
      </c>
      <c r="L340" s="7" t="e">
        <f t="shared" si="34"/>
        <v>#DIV/0!</v>
      </c>
      <c r="M340" s="2" t="e">
        <f t="shared" si="35"/>
        <v>#DIV/0!</v>
      </c>
    </row>
    <row r="341" spans="8:13">
      <c r="H341" s="2">
        <f t="shared" si="30"/>
        <v>0</v>
      </c>
      <c r="I341" s="14" t="e">
        <f t="shared" si="31"/>
        <v>#DIV/0!</v>
      </c>
      <c r="J341" s="2">
        <f t="shared" si="32"/>
        <v>0</v>
      </c>
      <c r="K341" s="14" t="e">
        <f t="shared" si="33"/>
        <v>#DIV/0!</v>
      </c>
      <c r="L341" s="7" t="e">
        <f t="shared" si="34"/>
        <v>#DIV/0!</v>
      </c>
      <c r="M341" s="2" t="e">
        <f t="shared" si="35"/>
        <v>#DIV/0!</v>
      </c>
    </row>
    <row r="342" spans="8:13">
      <c r="H342" s="2">
        <f t="shared" si="30"/>
        <v>0</v>
      </c>
      <c r="I342" s="14" t="e">
        <f t="shared" si="31"/>
        <v>#DIV/0!</v>
      </c>
      <c r="J342" s="2">
        <f t="shared" si="32"/>
        <v>0</v>
      </c>
      <c r="K342" s="14" t="e">
        <f t="shared" si="33"/>
        <v>#DIV/0!</v>
      </c>
      <c r="L342" s="7" t="e">
        <f t="shared" si="34"/>
        <v>#DIV/0!</v>
      </c>
      <c r="M342" s="2" t="e">
        <f t="shared" si="35"/>
        <v>#DIV/0!</v>
      </c>
    </row>
    <row r="343" spans="8:13">
      <c r="H343" s="2">
        <f t="shared" si="30"/>
        <v>0</v>
      </c>
      <c r="I343" s="14" t="e">
        <f t="shared" si="31"/>
        <v>#DIV/0!</v>
      </c>
      <c r="J343" s="2">
        <f t="shared" si="32"/>
        <v>0</v>
      </c>
      <c r="K343" s="14" t="e">
        <f t="shared" si="33"/>
        <v>#DIV/0!</v>
      </c>
      <c r="L343" s="7" t="e">
        <f t="shared" si="34"/>
        <v>#DIV/0!</v>
      </c>
      <c r="M343" s="2" t="e">
        <f t="shared" si="35"/>
        <v>#DIV/0!</v>
      </c>
    </row>
    <row r="344" spans="8:13">
      <c r="H344" s="2">
        <f t="shared" si="30"/>
        <v>0</v>
      </c>
      <c r="I344" s="14" t="e">
        <f t="shared" si="31"/>
        <v>#DIV/0!</v>
      </c>
      <c r="J344" s="2">
        <f t="shared" si="32"/>
        <v>0</v>
      </c>
      <c r="K344" s="14" t="e">
        <f t="shared" si="33"/>
        <v>#DIV/0!</v>
      </c>
      <c r="L344" s="7" t="e">
        <f t="shared" si="34"/>
        <v>#DIV/0!</v>
      </c>
      <c r="M344" s="2" t="e">
        <f t="shared" si="35"/>
        <v>#DIV/0!</v>
      </c>
    </row>
    <row r="345" spans="8:13">
      <c r="H345" s="2">
        <f t="shared" si="30"/>
        <v>0</v>
      </c>
      <c r="I345" s="14" t="e">
        <f t="shared" si="31"/>
        <v>#DIV/0!</v>
      </c>
      <c r="J345" s="2">
        <f t="shared" si="32"/>
        <v>0</v>
      </c>
      <c r="K345" s="14" t="e">
        <f t="shared" si="33"/>
        <v>#DIV/0!</v>
      </c>
      <c r="L345" s="7" t="e">
        <f t="shared" si="34"/>
        <v>#DIV/0!</v>
      </c>
      <c r="M345" s="2" t="e">
        <f t="shared" si="35"/>
        <v>#DIV/0!</v>
      </c>
    </row>
    <row r="346" spans="8:13">
      <c r="H346" s="2">
        <f t="shared" si="30"/>
        <v>0</v>
      </c>
      <c r="I346" s="14" t="e">
        <f t="shared" si="31"/>
        <v>#DIV/0!</v>
      </c>
      <c r="J346" s="2">
        <f t="shared" si="32"/>
        <v>0</v>
      </c>
      <c r="K346" s="14" t="e">
        <f t="shared" si="33"/>
        <v>#DIV/0!</v>
      </c>
      <c r="L346" s="7" t="e">
        <f t="shared" si="34"/>
        <v>#DIV/0!</v>
      </c>
      <c r="M346" s="2" t="e">
        <f t="shared" si="35"/>
        <v>#DIV/0!</v>
      </c>
    </row>
    <row r="347" spans="8:13">
      <c r="H347" s="2">
        <f t="shared" si="30"/>
        <v>0</v>
      </c>
      <c r="I347" s="14" t="e">
        <f t="shared" si="31"/>
        <v>#DIV/0!</v>
      </c>
      <c r="J347" s="2">
        <f t="shared" si="32"/>
        <v>0</v>
      </c>
      <c r="K347" s="14" t="e">
        <f t="shared" si="33"/>
        <v>#DIV/0!</v>
      </c>
      <c r="L347" s="7" t="e">
        <f t="shared" si="34"/>
        <v>#DIV/0!</v>
      </c>
      <c r="M347" s="2" t="e">
        <f t="shared" si="35"/>
        <v>#DIV/0!</v>
      </c>
    </row>
    <row r="348" spans="8:13">
      <c r="H348" s="2">
        <f t="shared" si="30"/>
        <v>0</v>
      </c>
      <c r="I348" s="14" t="e">
        <f t="shared" si="31"/>
        <v>#DIV/0!</v>
      </c>
      <c r="J348" s="2">
        <f t="shared" si="32"/>
        <v>0</v>
      </c>
      <c r="K348" s="14" t="e">
        <f t="shared" si="33"/>
        <v>#DIV/0!</v>
      </c>
      <c r="L348" s="7" t="e">
        <f t="shared" si="34"/>
        <v>#DIV/0!</v>
      </c>
      <c r="M348" s="2" t="e">
        <f t="shared" si="35"/>
        <v>#DIV/0!</v>
      </c>
    </row>
    <row r="349" spans="8:13">
      <c r="H349" s="2">
        <f t="shared" si="30"/>
        <v>0</v>
      </c>
      <c r="I349" s="14" t="e">
        <f t="shared" si="31"/>
        <v>#DIV/0!</v>
      </c>
      <c r="J349" s="2">
        <f t="shared" si="32"/>
        <v>0</v>
      </c>
      <c r="K349" s="14" t="e">
        <f t="shared" si="33"/>
        <v>#DIV/0!</v>
      </c>
      <c r="L349" s="7" t="e">
        <f t="shared" si="34"/>
        <v>#DIV/0!</v>
      </c>
      <c r="M349" s="2" t="e">
        <f t="shared" si="35"/>
        <v>#DIV/0!</v>
      </c>
    </row>
    <row r="350" spans="8:13">
      <c r="H350" s="2">
        <f t="shared" si="30"/>
        <v>0</v>
      </c>
      <c r="I350" s="14" t="e">
        <f t="shared" si="31"/>
        <v>#DIV/0!</v>
      </c>
      <c r="J350" s="2">
        <f t="shared" si="32"/>
        <v>0</v>
      </c>
      <c r="K350" s="14" t="e">
        <f t="shared" si="33"/>
        <v>#DIV/0!</v>
      </c>
      <c r="L350" s="7" t="e">
        <f t="shared" si="34"/>
        <v>#DIV/0!</v>
      </c>
      <c r="M350" s="2" t="e">
        <f t="shared" si="35"/>
        <v>#DIV/0!</v>
      </c>
    </row>
    <row r="351" spans="8:13">
      <c r="H351" s="2">
        <f t="shared" si="30"/>
        <v>0</v>
      </c>
      <c r="I351" s="14" t="e">
        <f t="shared" si="31"/>
        <v>#DIV/0!</v>
      </c>
      <c r="J351" s="2">
        <f t="shared" si="32"/>
        <v>0</v>
      </c>
      <c r="K351" s="14" t="e">
        <f t="shared" si="33"/>
        <v>#DIV/0!</v>
      </c>
      <c r="L351" s="7" t="e">
        <f t="shared" si="34"/>
        <v>#DIV/0!</v>
      </c>
      <c r="M351" s="2" t="e">
        <f t="shared" si="35"/>
        <v>#DIV/0!</v>
      </c>
    </row>
    <row r="352" spans="8:13">
      <c r="H352" s="2">
        <f t="shared" si="30"/>
        <v>0</v>
      </c>
      <c r="I352" s="14" t="e">
        <f t="shared" si="31"/>
        <v>#DIV/0!</v>
      </c>
      <c r="J352" s="2">
        <f t="shared" si="32"/>
        <v>0</v>
      </c>
      <c r="K352" s="14" t="e">
        <f t="shared" si="33"/>
        <v>#DIV/0!</v>
      </c>
      <c r="L352" s="7" t="e">
        <f t="shared" si="34"/>
        <v>#DIV/0!</v>
      </c>
      <c r="M352" s="2" t="e">
        <f t="shared" si="35"/>
        <v>#DIV/0!</v>
      </c>
    </row>
    <row r="353" spans="8:13">
      <c r="H353" s="2">
        <f t="shared" si="30"/>
        <v>0</v>
      </c>
      <c r="I353" s="14" t="e">
        <f t="shared" si="31"/>
        <v>#DIV/0!</v>
      </c>
      <c r="J353" s="2">
        <f t="shared" si="32"/>
        <v>0</v>
      </c>
      <c r="K353" s="14" t="e">
        <f t="shared" si="33"/>
        <v>#DIV/0!</v>
      </c>
      <c r="L353" s="7" t="e">
        <f t="shared" si="34"/>
        <v>#DIV/0!</v>
      </c>
      <c r="M353" s="2" t="e">
        <f t="shared" si="35"/>
        <v>#DIV/0!</v>
      </c>
    </row>
    <row r="354" spans="8:13">
      <c r="H354" s="2">
        <f t="shared" si="30"/>
        <v>0</v>
      </c>
      <c r="I354" s="14" t="e">
        <f t="shared" si="31"/>
        <v>#DIV/0!</v>
      </c>
      <c r="J354" s="2">
        <f t="shared" si="32"/>
        <v>0</v>
      </c>
      <c r="K354" s="14" t="e">
        <f t="shared" si="33"/>
        <v>#DIV/0!</v>
      </c>
      <c r="L354" s="7" t="e">
        <f t="shared" si="34"/>
        <v>#DIV/0!</v>
      </c>
      <c r="M354" s="2" t="e">
        <f t="shared" si="35"/>
        <v>#DIV/0!</v>
      </c>
    </row>
    <row r="355" spans="8:13">
      <c r="H355" s="2">
        <f t="shared" si="30"/>
        <v>0</v>
      </c>
      <c r="I355" s="14" t="e">
        <f t="shared" si="31"/>
        <v>#DIV/0!</v>
      </c>
      <c r="J355" s="2">
        <f t="shared" si="32"/>
        <v>0</v>
      </c>
      <c r="K355" s="14" t="e">
        <f t="shared" si="33"/>
        <v>#DIV/0!</v>
      </c>
      <c r="L355" s="7" t="e">
        <f t="shared" si="34"/>
        <v>#DIV/0!</v>
      </c>
      <c r="M355" s="2" t="e">
        <f t="shared" si="35"/>
        <v>#DIV/0!</v>
      </c>
    </row>
    <row r="356" spans="8:13">
      <c r="H356" s="2">
        <f t="shared" si="30"/>
        <v>0</v>
      </c>
      <c r="I356" s="14" t="e">
        <f t="shared" si="31"/>
        <v>#DIV/0!</v>
      </c>
      <c r="J356" s="2">
        <f t="shared" si="32"/>
        <v>0</v>
      </c>
      <c r="K356" s="14" t="e">
        <f t="shared" si="33"/>
        <v>#DIV/0!</v>
      </c>
      <c r="L356" s="7" t="e">
        <f t="shared" si="34"/>
        <v>#DIV/0!</v>
      </c>
      <c r="M356" s="2" t="e">
        <f t="shared" si="35"/>
        <v>#DIV/0!</v>
      </c>
    </row>
    <row r="357" spans="8:13">
      <c r="H357" s="2">
        <f t="shared" si="30"/>
        <v>0</v>
      </c>
      <c r="I357" s="14" t="e">
        <f t="shared" si="31"/>
        <v>#DIV/0!</v>
      </c>
      <c r="J357" s="2">
        <f t="shared" si="32"/>
        <v>0</v>
      </c>
      <c r="K357" s="14" t="e">
        <f t="shared" si="33"/>
        <v>#DIV/0!</v>
      </c>
      <c r="L357" s="7" t="e">
        <f t="shared" si="34"/>
        <v>#DIV/0!</v>
      </c>
      <c r="M357" s="2" t="e">
        <f t="shared" si="35"/>
        <v>#DIV/0!</v>
      </c>
    </row>
    <row r="358" spans="8:13">
      <c r="H358" s="2">
        <f t="shared" si="30"/>
        <v>0</v>
      </c>
      <c r="I358" s="14" t="e">
        <f t="shared" si="31"/>
        <v>#DIV/0!</v>
      </c>
      <c r="J358" s="2">
        <f t="shared" si="32"/>
        <v>0</v>
      </c>
      <c r="K358" s="14" t="e">
        <f t="shared" si="33"/>
        <v>#DIV/0!</v>
      </c>
      <c r="L358" s="7" t="e">
        <f t="shared" si="34"/>
        <v>#DIV/0!</v>
      </c>
      <c r="M358" s="2" t="e">
        <f t="shared" si="35"/>
        <v>#DIV/0!</v>
      </c>
    </row>
    <row r="359" spans="8:13">
      <c r="H359" s="2">
        <f t="shared" si="30"/>
        <v>0</v>
      </c>
      <c r="I359" s="14" t="e">
        <f t="shared" si="31"/>
        <v>#DIV/0!</v>
      </c>
      <c r="J359" s="2">
        <f t="shared" si="32"/>
        <v>0</v>
      </c>
      <c r="K359" s="14" t="e">
        <f t="shared" si="33"/>
        <v>#DIV/0!</v>
      </c>
      <c r="L359" s="7" t="e">
        <f t="shared" si="34"/>
        <v>#DIV/0!</v>
      </c>
      <c r="M359" s="2" t="e">
        <f t="shared" si="35"/>
        <v>#DIV/0!</v>
      </c>
    </row>
    <row r="360" spans="8:13">
      <c r="H360" s="2">
        <f t="shared" si="30"/>
        <v>0</v>
      </c>
      <c r="I360" s="14" t="e">
        <f t="shared" si="31"/>
        <v>#DIV/0!</v>
      </c>
      <c r="J360" s="2">
        <f t="shared" si="32"/>
        <v>0</v>
      </c>
      <c r="K360" s="14" t="e">
        <f t="shared" si="33"/>
        <v>#DIV/0!</v>
      </c>
      <c r="L360" s="7" t="e">
        <f t="shared" si="34"/>
        <v>#DIV/0!</v>
      </c>
      <c r="M360" s="2" t="e">
        <f t="shared" si="35"/>
        <v>#DIV/0!</v>
      </c>
    </row>
    <row r="361" spans="8:13">
      <c r="H361" s="2">
        <f t="shared" si="30"/>
        <v>0</v>
      </c>
      <c r="I361" s="14" t="e">
        <f t="shared" si="31"/>
        <v>#DIV/0!</v>
      </c>
      <c r="J361" s="2">
        <f t="shared" si="32"/>
        <v>0</v>
      </c>
      <c r="K361" s="14" t="e">
        <f t="shared" si="33"/>
        <v>#DIV/0!</v>
      </c>
      <c r="L361" s="7" t="e">
        <f t="shared" si="34"/>
        <v>#DIV/0!</v>
      </c>
      <c r="M361" s="2" t="e">
        <f t="shared" si="35"/>
        <v>#DIV/0!</v>
      </c>
    </row>
    <row r="362" spans="8:13">
      <c r="H362" s="2">
        <f t="shared" si="30"/>
        <v>0</v>
      </c>
      <c r="I362" s="14" t="e">
        <f t="shared" si="31"/>
        <v>#DIV/0!</v>
      </c>
      <c r="J362" s="2">
        <f t="shared" si="32"/>
        <v>0</v>
      </c>
      <c r="K362" s="14" t="e">
        <f t="shared" si="33"/>
        <v>#DIV/0!</v>
      </c>
      <c r="L362" s="7" t="e">
        <f t="shared" si="34"/>
        <v>#DIV/0!</v>
      </c>
      <c r="M362" s="2" t="e">
        <f t="shared" si="35"/>
        <v>#DIV/0!</v>
      </c>
    </row>
    <row r="363" spans="8:13">
      <c r="H363" s="2">
        <f t="shared" si="30"/>
        <v>0</v>
      </c>
      <c r="I363" s="14" t="e">
        <f t="shared" si="31"/>
        <v>#DIV/0!</v>
      </c>
      <c r="J363" s="2">
        <f t="shared" si="32"/>
        <v>0</v>
      </c>
      <c r="K363" s="14" t="e">
        <f t="shared" si="33"/>
        <v>#DIV/0!</v>
      </c>
      <c r="L363" s="7" t="e">
        <f t="shared" si="34"/>
        <v>#DIV/0!</v>
      </c>
      <c r="M363" s="2" t="e">
        <f t="shared" si="35"/>
        <v>#DIV/0!</v>
      </c>
    </row>
    <row r="364" spans="8:13">
      <c r="H364" s="2">
        <f t="shared" si="30"/>
        <v>0</v>
      </c>
      <c r="I364" s="14" t="e">
        <f t="shared" si="31"/>
        <v>#DIV/0!</v>
      </c>
      <c r="J364" s="2">
        <f t="shared" si="32"/>
        <v>0</v>
      </c>
      <c r="K364" s="14" t="e">
        <f t="shared" si="33"/>
        <v>#DIV/0!</v>
      </c>
      <c r="L364" s="7" t="e">
        <f t="shared" si="34"/>
        <v>#DIV/0!</v>
      </c>
      <c r="M364" s="2" t="e">
        <f t="shared" si="35"/>
        <v>#DIV/0!</v>
      </c>
    </row>
    <row r="365" spans="8:13">
      <c r="H365" s="2">
        <f t="shared" si="30"/>
        <v>0</v>
      </c>
      <c r="I365" s="14" t="e">
        <f t="shared" si="31"/>
        <v>#DIV/0!</v>
      </c>
      <c r="J365" s="2">
        <f t="shared" si="32"/>
        <v>0</v>
      </c>
      <c r="K365" s="14" t="e">
        <f t="shared" si="33"/>
        <v>#DIV/0!</v>
      </c>
      <c r="L365" s="7" t="e">
        <f t="shared" si="34"/>
        <v>#DIV/0!</v>
      </c>
      <c r="M365" s="2" t="e">
        <f t="shared" si="35"/>
        <v>#DIV/0!</v>
      </c>
    </row>
    <row r="366" spans="8:13">
      <c r="H366" s="2">
        <f t="shared" si="30"/>
        <v>0</v>
      </c>
      <c r="I366" s="14" t="e">
        <f t="shared" si="31"/>
        <v>#DIV/0!</v>
      </c>
      <c r="J366" s="2">
        <f t="shared" si="32"/>
        <v>0</v>
      </c>
      <c r="K366" s="14" t="e">
        <f t="shared" si="33"/>
        <v>#DIV/0!</v>
      </c>
      <c r="L366" s="7" t="e">
        <f t="shared" si="34"/>
        <v>#DIV/0!</v>
      </c>
      <c r="M366" s="2" t="e">
        <f t="shared" si="35"/>
        <v>#DIV/0!</v>
      </c>
    </row>
    <row r="367" spans="8:13">
      <c r="H367" s="2">
        <f t="shared" si="30"/>
        <v>0</v>
      </c>
      <c r="I367" s="14" t="e">
        <f t="shared" si="31"/>
        <v>#DIV/0!</v>
      </c>
      <c r="J367" s="2">
        <f t="shared" si="32"/>
        <v>0</v>
      </c>
      <c r="K367" s="14" t="e">
        <f t="shared" si="33"/>
        <v>#DIV/0!</v>
      </c>
      <c r="L367" s="7" t="e">
        <f t="shared" si="34"/>
        <v>#DIV/0!</v>
      </c>
      <c r="M367" s="2" t="e">
        <f t="shared" si="35"/>
        <v>#DIV/0!</v>
      </c>
    </row>
    <row r="368" spans="8:13">
      <c r="H368" s="2">
        <f t="shared" si="30"/>
        <v>0</v>
      </c>
      <c r="I368" s="14" t="e">
        <f t="shared" si="31"/>
        <v>#DIV/0!</v>
      </c>
      <c r="J368" s="2">
        <f t="shared" si="32"/>
        <v>0</v>
      </c>
      <c r="K368" s="14" t="e">
        <f t="shared" si="33"/>
        <v>#DIV/0!</v>
      </c>
      <c r="L368" s="7" t="e">
        <f t="shared" si="34"/>
        <v>#DIV/0!</v>
      </c>
      <c r="M368" s="2" t="e">
        <f t="shared" si="35"/>
        <v>#DIV/0!</v>
      </c>
    </row>
    <row r="369" spans="1:13">
      <c r="H369" s="2">
        <f t="shared" si="30"/>
        <v>0</v>
      </c>
      <c r="I369" s="14" t="e">
        <f t="shared" si="31"/>
        <v>#DIV/0!</v>
      </c>
      <c r="J369" s="2">
        <f t="shared" si="32"/>
        <v>0</v>
      </c>
      <c r="K369" s="14" t="e">
        <f t="shared" si="33"/>
        <v>#DIV/0!</v>
      </c>
      <c r="L369" s="7" t="e">
        <f t="shared" si="34"/>
        <v>#DIV/0!</v>
      </c>
      <c r="M369" s="2" t="e">
        <f t="shared" si="35"/>
        <v>#DIV/0!</v>
      </c>
    </row>
    <row r="370" spans="1:13">
      <c r="H370" s="2">
        <f t="shared" si="30"/>
        <v>0</v>
      </c>
      <c r="I370" s="14" t="e">
        <f t="shared" si="31"/>
        <v>#DIV/0!</v>
      </c>
      <c r="J370" s="2">
        <f t="shared" si="32"/>
        <v>0</v>
      </c>
      <c r="K370" s="14" t="e">
        <f t="shared" si="33"/>
        <v>#DIV/0!</v>
      </c>
      <c r="L370" s="7" t="e">
        <f t="shared" si="34"/>
        <v>#DIV/0!</v>
      </c>
      <c r="M370" s="2" t="e">
        <f t="shared" si="35"/>
        <v>#DIV/0!</v>
      </c>
    </row>
    <row r="371" spans="1:13">
      <c r="H371" s="2">
        <f t="shared" si="30"/>
        <v>0</v>
      </c>
      <c r="I371" s="14" t="e">
        <f t="shared" si="31"/>
        <v>#DIV/0!</v>
      </c>
      <c r="J371" s="2">
        <f t="shared" si="32"/>
        <v>0</v>
      </c>
      <c r="K371" s="14" t="e">
        <f t="shared" si="33"/>
        <v>#DIV/0!</v>
      </c>
      <c r="L371" s="7" t="e">
        <f t="shared" si="34"/>
        <v>#DIV/0!</v>
      </c>
      <c r="M371" s="2" t="e">
        <f t="shared" si="35"/>
        <v>#DIV/0!</v>
      </c>
    </row>
    <row r="372" spans="1:13">
      <c r="H372" s="2">
        <f t="shared" si="30"/>
        <v>0</v>
      </c>
      <c r="I372" s="14" t="e">
        <f t="shared" si="31"/>
        <v>#DIV/0!</v>
      </c>
      <c r="J372" s="2">
        <f t="shared" si="32"/>
        <v>0</v>
      </c>
      <c r="K372" s="14" t="e">
        <f t="shared" si="33"/>
        <v>#DIV/0!</v>
      </c>
      <c r="L372" s="7" t="e">
        <f t="shared" si="34"/>
        <v>#DIV/0!</v>
      </c>
      <c r="M372" s="2" t="e">
        <f t="shared" si="35"/>
        <v>#DIV/0!</v>
      </c>
    </row>
    <row r="373" spans="1:13">
      <c r="H373" s="2">
        <f t="shared" si="30"/>
        <v>0</v>
      </c>
      <c r="I373" s="14" t="e">
        <f t="shared" si="31"/>
        <v>#DIV/0!</v>
      </c>
      <c r="J373" s="2">
        <f t="shared" si="32"/>
        <v>0</v>
      </c>
      <c r="K373" s="14" t="e">
        <f t="shared" si="33"/>
        <v>#DIV/0!</v>
      </c>
      <c r="L373" s="7" t="e">
        <f t="shared" si="34"/>
        <v>#DIV/0!</v>
      </c>
      <c r="M373" s="2" t="e">
        <f t="shared" si="35"/>
        <v>#DIV/0!</v>
      </c>
    </row>
    <row r="374" spans="1:13">
      <c r="H374" s="2">
        <f t="shared" si="30"/>
        <v>0</v>
      </c>
      <c r="I374" s="14" t="e">
        <f t="shared" si="31"/>
        <v>#DIV/0!</v>
      </c>
      <c r="J374" s="2">
        <f t="shared" si="32"/>
        <v>0</v>
      </c>
      <c r="K374" s="14" t="e">
        <f t="shared" si="33"/>
        <v>#DIV/0!</v>
      </c>
      <c r="L374" s="7" t="e">
        <f t="shared" si="34"/>
        <v>#DIV/0!</v>
      </c>
      <c r="M374" s="2" t="e">
        <f t="shared" si="35"/>
        <v>#DIV/0!</v>
      </c>
    </row>
    <row r="375" spans="1:13">
      <c r="H375" s="2">
        <f t="shared" si="30"/>
        <v>0</v>
      </c>
      <c r="I375" s="14" t="e">
        <f t="shared" si="31"/>
        <v>#DIV/0!</v>
      </c>
      <c r="J375" s="2">
        <f t="shared" si="32"/>
        <v>0</v>
      </c>
      <c r="K375" s="14" t="e">
        <f t="shared" si="33"/>
        <v>#DIV/0!</v>
      </c>
      <c r="L375" s="7" t="e">
        <f t="shared" si="34"/>
        <v>#DIV/0!</v>
      </c>
      <c r="M375" s="2" t="e">
        <f t="shared" si="35"/>
        <v>#DIV/0!</v>
      </c>
    </row>
    <row r="376" spans="1:13">
      <c r="H376" s="2">
        <f t="shared" si="30"/>
        <v>0</v>
      </c>
      <c r="I376" s="14" t="e">
        <f t="shared" si="31"/>
        <v>#DIV/0!</v>
      </c>
      <c r="J376" s="2">
        <f t="shared" si="32"/>
        <v>0</v>
      </c>
      <c r="K376" s="14" t="e">
        <f t="shared" si="33"/>
        <v>#DIV/0!</v>
      </c>
      <c r="L376" s="7" t="e">
        <f t="shared" si="34"/>
        <v>#DIV/0!</v>
      </c>
      <c r="M376" s="2" t="e">
        <f t="shared" si="35"/>
        <v>#DIV/0!</v>
      </c>
    </row>
    <row r="377" spans="1:13">
      <c r="H377" s="2">
        <f t="shared" si="30"/>
        <v>0</v>
      </c>
      <c r="I377" s="14" t="e">
        <f t="shared" si="31"/>
        <v>#DIV/0!</v>
      </c>
      <c r="J377" s="2">
        <f t="shared" si="32"/>
        <v>0</v>
      </c>
      <c r="K377" s="14" t="e">
        <f t="shared" si="33"/>
        <v>#DIV/0!</v>
      </c>
      <c r="L377" s="7" t="e">
        <f t="shared" si="34"/>
        <v>#DIV/0!</v>
      </c>
      <c r="M377" s="2" t="e">
        <f t="shared" si="35"/>
        <v>#DIV/0!</v>
      </c>
    </row>
    <row r="378" spans="1:13">
      <c r="H378" s="2">
        <f t="shared" si="30"/>
        <v>0</v>
      </c>
      <c r="I378" s="14" t="e">
        <f t="shared" si="31"/>
        <v>#DIV/0!</v>
      </c>
      <c r="J378" s="2">
        <f t="shared" si="32"/>
        <v>0</v>
      </c>
      <c r="K378" s="14" t="e">
        <f t="shared" si="33"/>
        <v>#DIV/0!</v>
      </c>
      <c r="L378" s="7" t="e">
        <f t="shared" si="34"/>
        <v>#DIV/0!</v>
      </c>
      <c r="M378" s="2" t="e">
        <f t="shared" si="35"/>
        <v>#DIV/0!</v>
      </c>
    </row>
    <row r="379" spans="1:13">
      <c r="H379" s="2">
        <f t="shared" si="30"/>
        <v>0</v>
      </c>
      <c r="I379" s="14" t="e">
        <f t="shared" si="31"/>
        <v>#DIV/0!</v>
      </c>
      <c r="J379" s="2">
        <f t="shared" si="32"/>
        <v>0</v>
      </c>
      <c r="K379" s="14" t="e">
        <f t="shared" si="33"/>
        <v>#DIV/0!</v>
      </c>
      <c r="L379" s="7" t="e">
        <f t="shared" si="34"/>
        <v>#DIV/0!</v>
      </c>
      <c r="M379" s="2" t="e">
        <f t="shared" si="35"/>
        <v>#DIV/0!</v>
      </c>
    </row>
    <row r="380" spans="1:13">
      <c r="H380" s="2">
        <f t="shared" si="30"/>
        <v>0</v>
      </c>
      <c r="I380" s="14" t="e">
        <f t="shared" si="31"/>
        <v>#DIV/0!</v>
      </c>
      <c r="J380" s="2">
        <f t="shared" si="32"/>
        <v>0</v>
      </c>
      <c r="K380" s="14" t="e">
        <f t="shared" si="33"/>
        <v>#DIV/0!</v>
      </c>
      <c r="L380" s="7" t="e">
        <f t="shared" si="34"/>
        <v>#DIV/0!</v>
      </c>
      <c r="M380" s="2" t="e">
        <f t="shared" si="35"/>
        <v>#DIV/0!</v>
      </c>
    </row>
    <row r="381" spans="1:13">
      <c r="H381" s="2">
        <f t="shared" si="30"/>
        <v>0</v>
      </c>
      <c r="I381" s="14" t="e">
        <f t="shared" si="31"/>
        <v>#DIV/0!</v>
      </c>
      <c r="J381" s="2">
        <f t="shared" si="32"/>
        <v>0</v>
      </c>
      <c r="K381" s="14" t="e">
        <f t="shared" si="33"/>
        <v>#DIV/0!</v>
      </c>
      <c r="L381" s="7" t="e">
        <f t="shared" si="34"/>
        <v>#DIV/0!</v>
      </c>
      <c r="M381" s="2" t="e">
        <f t="shared" si="35"/>
        <v>#DIV/0!</v>
      </c>
    </row>
    <row r="382" spans="1:13">
      <c r="H382" s="2">
        <f t="shared" si="30"/>
        <v>0</v>
      </c>
      <c r="I382" s="14" t="e">
        <f t="shared" si="31"/>
        <v>#DIV/0!</v>
      </c>
      <c r="J382" s="2">
        <f t="shared" si="32"/>
        <v>0</v>
      </c>
      <c r="K382" s="14" t="e">
        <f t="shared" si="33"/>
        <v>#DIV/0!</v>
      </c>
      <c r="L382" s="7" t="e">
        <f t="shared" si="34"/>
        <v>#DIV/0!</v>
      </c>
      <c r="M382" s="2" t="e">
        <f t="shared" si="35"/>
        <v>#DIV/0!</v>
      </c>
    </row>
    <row r="383" spans="1:13">
      <c r="A383" s="13"/>
      <c r="H383" s="2">
        <f t="shared" si="30"/>
        <v>0</v>
      </c>
      <c r="I383" s="14" t="e">
        <f t="shared" si="31"/>
        <v>#DIV/0!</v>
      </c>
      <c r="J383" s="2">
        <f t="shared" si="32"/>
        <v>0</v>
      </c>
      <c r="K383" s="14" t="e">
        <f t="shared" si="33"/>
        <v>#DIV/0!</v>
      </c>
      <c r="L383" s="7" t="e">
        <f t="shared" si="34"/>
        <v>#DIV/0!</v>
      </c>
      <c r="M383" s="2" t="e">
        <f t="shared" si="35"/>
        <v>#DIV/0!</v>
      </c>
    </row>
    <row r="384" spans="1:13">
      <c r="A384" s="13"/>
    </row>
  </sheetData>
  <autoFilter ref="A5:T384" xr:uid="{000DD331-B5CF-4F9D-A314-4ABEB9826DE9}">
    <sortState xmlns:xlrd2="http://schemas.microsoft.com/office/spreadsheetml/2017/richdata2" ref="A6:T384">
      <sortCondition ref="I5:I384"/>
    </sortState>
  </autoFilter>
  <conditionalFormatting sqref="B5:E5">
    <cfRule type="cellIs" dxfId="15" priority="11" operator="equal">
      <formula>$B$10</formula>
    </cfRule>
    <cfRule type="cellIs" dxfId="14" priority="12" operator="equal">
      <formula>$B$9</formula>
    </cfRule>
  </conditionalFormatting>
  <conditionalFormatting sqref="F5">
    <cfRule type="cellIs" dxfId="13" priority="13" operator="equal">
      <formula>$B$12</formula>
    </cfRule>
    <cfRule type="cellIs" dxfId="12" priority="14" operator="equal">
      <formula>$B$11</formula>
    </cfRule>
  </conditionalFormatting>
  <conditionalFormatting sqref="G5:K5">
    <cfRule type="cellIs" dxfId="11" priority="15" operator="equal">
      <formula>$B$14</formula>
    </cfRule>
    <cfRule type="cellIs" dxfId="10" priority="16" operator="equal">
      <formula>$B$15</formula>
    </cfRule>
  </conditionalFormatting>
  <conditionalFormatting sqref="L5:M5">
    <cfRule type="containsText" dxfId="9" priority="9" operator="containsText" text="BEARISH">
      <formula>NOT(ISERROR(SEARCH("BEARISH",L5)))</formula>
    </cfRule>
    <cfRule type="containsText" dxfId="8" priority="10" operator="containsText" text="BULLISH">
      <formula>NOT(ISERROR(SEARCH("BULLISH",L5)))</formula>
    </cfRule>
  </conditionalFormatting>
  <conditionalFormatting sqref="L384:M384">
    <cfRule type="containsText" dxfId="7" priority="7" operator="containsText" text="BEARISH">
      <formula>NOT(ISERROR(SEARCH("BEARISH",L384)))</formula>
    </cfRule>
    <cfRule type="containsText" dxfId="6" priority="8" operator="containsText" text="BULLISH">
      <formula>NOT(ISERROR(SEARCH("BULLISH",L384)))</formula>
    </cfRule>
  </conditionalFormatting>
  <conditionalFormatting sqref="H7:K384">
    <cfRule type="cellIs" dxfId="5" priority="5" operator="equal">
      <formula>$B$14</formula>
    </cfRule>
    <cfRule type="cellIs" dxfId="4" priority="6" operator="equal">
      <formula>$B$15</formula>
    </cfRule>
  </conditionalFormatting>
  <conditionalFormatting sqref="I7:I384">
    <cfRule type="cellIs" dxfId="3" priority="4" operator="greaterThan">
      <formula>1</formula>
    </cfRule>
  </conditionalFormatting>
  <conditionalFormatting sqref="A5:M6 A7:K134 L7:M383">
    <cfRule type="expression" dxfId="2" priority="3">
      <formula>"BULLISH"</formula>
    </cfRule>
  </conditionalFormatting>
  <conditionalFormatting sqref="L1:M1048576">
    <cfRule type="cellIs" dxfId="1" priority="1" operator="equal">
      <formula>"BEARISH"</formula>
    </cfRule>
    <cfRule type="containsText" dxfId="0" priority="2" operator="containsText" text="BULLISH">
      <formula>NOT(ISERROR(SEARCH("BULLISH",L1)))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12</xdr:col>
                <xdr:colOff>57150</xdr:colOff>
                <xdr:row>1</xdr:row>
                <xdr:rowOff>171450</xdr:rowOff>
              </from>
              <to>
                <xdr:col>12</xdr:col>
                <xdr:colOff>1162050</xdr:colOff>
                <xdr:row>3</xdr:row>
                <xdr:rowOff>133350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5244A-D5A1-4D62-A4B0-ABF34EDC6CE5}">
  <sheetPr codeName="Sheet2"/>
  <dimension ref="A1:N473"/>
  <sheetViews>
    <sheetView workbookViewId="0">
      <selection activeCell="F2" sqref="F2"/>
    </sheetView>
  </sheetViews>
  <sheetFormatPr defaultRowHeight="14.25"/>
  <cols>
    <col min="1" max="1" width="12.625" customWidth="1"/>
    <col min="2" max="2" width="42.5" customWidth="1"/>
    <col min="3" max="4" width="13.75" bestFit="1" customWidth="1"/>
    <col min="5" max="5" width="9.75" bestFit="1" customWidth="1"/>
    <col min="6" max="6" width="27.375" bestFit="1" customWidth="1"/>
    <col min="10" max="10" width="7.75" bestFit="1" customWidth="1"/>
    <col min="11" max="11" width="45.25" bestFit="1" customWidth="1"/>
  </cols>
  <sheetData>
    <row r="1" spans="1:11">
      <c r="A1" s="15" t="s">
        <v>2</v>
      </c>
      <c r="B1" s="15" t="s">
        <v>41</v>
      </c>
      <c r="E1" s="16" t="s">
        <v>42</v>
      </c>
      <c r="F1" s="17" t="s">
        <v>43</v>
      </c>
      <c r="I1" s="18" t="s">
        <v>44</v>
      </c>
      <c r="J1" s="18" t="s">
        <v>33</v>
      </c>
      <c r="K1" s="18" t="s">
        <v>45</v>
      </c>
    </row>
    <row r="2" spans="1:11">
      <c r="A2" s="19" t="s">
        <v>46</v>
      </c>
      <c r="B2" s="19" t="s">
        <v>47</v>
      </c>
      <c r="E2" s="16" t="s">
        <v>48</v>
      </c>
      <c r="F2" s="20" t="s">
        <v>49</v>
      </c>
      <c r="I2" s="21" t="s">
        <v>50</v>
      </c>
      <c r="J2" s="21" t="s">
        <v>50</v>
      </c>
      <c r="K2" s="21" t="s">
        <v>51</v>
      </c>
    </row>
    <row r="3" spans="1:11">
      <c r="A3" s="19" t="s">
        <v>3</v>
      </c>
      <c r="B3" s="19" t="s">
        <v>52</v>
      </c>
      <c r="E3" s="25" t="str">
        <f>_xlfn.CONCAT("https://kite.trade/connect/login?api_key=",Config2!F1,"&amp;v=3")</f>
        <v>https://kite.trade/connect/login?api_key=4v210llwkbl8uimi&amp;v=3</v>
      </c>
      <c r="F3" s="25"/>
      <c r="I3" s="21" t="s">
        <v>53</v>
      </c>
      <c r="J3" s="21" t="s">
        <v>53</v>
      </c>
      <c r="K3" s="21" t="s">
        <v>54</v>
      </c>
    </row>
    <row r="4" spans="1:11">
      <c r="A4" s="19" t="s">
        <v>55</v>
      </c>
      <c r="B4" s="19" t="s">
        <v>56</v>
      </c>
      <c r="E4" t="s">
        <v>57</v>
      </c>
      <c r="F4" t="s">
        <v>58</v>
      </c>
      <c r="I4" s="21" t="s">
        <v>53</v>
      </c>
      <c r="J4" s="21" t="s">
        <v>50</v>
      </c>
      <c r="K4" s="21" t="s">
        <v>59</v>
      </c>
    </row>
    <row r="5" spans="1:11">
      <c r="A5" s="19" t="s">
        <v>60</v>
      </c>
      <c r="B5" s="19" t="s">
        <v>61</v>
      </c>
      <c r="I5" s="21" t="s">
        <v>50</v>
      </c>
      <c r="J5" s="21" t="s">
        <v>53</v>
      </c>
      <c r="K5" s="21" t="s">
        <v>62</v>
      </c>
    </row>
    <row r="6" spans="1:11">
      <c r="A6" s="19" t="s">
        <v>9</v>
      </c>
      <c r="B6" s="19" t="s">
        <v>63</v>
      </c>
    </row>
    <row r="7" spans="1:11">
      <c r="A7" s="19" t="s">
        <v>64</v>
      </c>
      <c r="B7" s="19" t="s">
        <v>65</v>
      </c>
      <c r="I7" s="18" t="s">
        <v>44</v>
      </c>
      <c r="J7" s="18" t="s">
        <v>34</v>
      </c>
      <c r="K7" s="18" t="s">
        <v>45</v>
      </c>
    </row>
    <row r="8" spans="1:11">
      <c r="A8" s="19" t="s">
        <v>66</v>
      </c>
      <c r="B8" s="19" t="s">
        <v>67</v>
      </c>
      <c r="I8" s="21" t="s">
        <v>50</v>
      </c>
      <c r="J8" s="21" t="s">
        <v>50</v>
      </c>
      <c r="K8" s="21" t="s">
        <v>68</v>
      </c>
    </row>
    <row r="9" spans="1:11" ht="25.5">
      <c r="A9" s="19" t="s">
        <v>69</v>
      </c>
      <c r="B9" s="19" t="s">
        <v>70</v>
      </c>
      <c r="I9" s="21" t="s">
        <v>53</v>
      </c>
      <c r="J9" s="21" t="s">
        <v>53</v>
      </c>
      <c r="K9" s="21" t="s">
        <v>71</v>
      </c>
    </row>
    <row r="10" spans="1:11">
      <c r="A10" s="19" t="s">
        <v>72</v>
      </c>
      <c r="B10" s="19" t="s">
        <v>73</v>
      </c>
      <c r="I10" s="21" t="s">
        <v>53</v>
      </c>
      <c r="J10" s="21" t="s">
        <v>50</v>
      </c>
      <c r="K10" s="21" t="s">
        <v>74</v>
      </c>
    </row>
    <row r="11" spans="1:11">
      <c r="A11" s="19" t="s">
        <v>75</v>
      </c>
      <c r="B11" s="19" t="s">
        <v>76</v>
      </c>
      <c r="I11" s="21" t="s">
        <v>50</v>
      </c>
      <c r="J11" s="21" t="s">
        <v>53</v>
      </c>
      <c r="K11" s="21" t="s">
        <v>77</v>
      </c>
    </row>
    <row r="13" spans="1:11">
      <c r="A13" s="22" t="s">
        <v>78</v>
      </c>
      <c r="B13" s="22" t="s">
        <v>79</v>
      </c>
      <c r="C13" s="23" t="s">
        <v>80</v>
      </c>
      <c r="D13" s="22" t="s">
        <v>21</v>
      </c>
    </row>
    <row r="14" spans="1:11">
      <c r="A14" s="22" t="s">
        <v>1</v>
      </c>
      <c r="B14" s="22" t="s">
        <v>1</v>
      </c>
      <c r="C14" s="22">
        <v>13623298</v>
      </c>
      <c r="D14" s="22">
        <v>53216</v>
      </c>
      <c r="E14" t="str">
        <f t="shared" ref="E14:E77" si="0">RIGHT(B14,8)</f>
        <v>25JULFUT</v>
      </c>
    </row>
    <row r="15" spans="1:11">
      <c r="A15" s="22" t="s">
        <v>81</v>
      </c>
      <c r="B15" s="22" t="s">
        <v>81</v>
      </c>
      <c r="C15" s="22">
        <v>16410370</v>
      </c>
      <c r="D15" s="22">
        <v>64103</v>
      </c>
      <c r="E15" t="str">
        <f t="shared" si="0"/>
        <v>25AUGFUT</v>
      </c>
    </row>
    <row r="16" spans="1:11">
      <c r="A16" s="22" t="s">
        <v>82</v>
      </c>
      <c r="B16" s="22" t="s">
        <v>82</v>
      </c>
      <c r="C16" s="22">
        <v>13674242</v>
      </c>
      <c r="D16" s="22">
        <v>53415</v>
      </c>
      <c r="E16" t="str">
        <f t="shared" si="0"/>
        <v>25JULFUT</v>
      </c>
    </row>
    <row r="17" spans="1:5">
      <c r="A17" s="22" t="s">
        <v>83</v>
      </c>
      <c r="B17" s="22" t="s">
        <v>83</v>
      </c>
      <c r="C17" s="22">
        <v>16633602</v>
      </c>
      <c r="D17" s="22">
        <v>64975</v>
      </c>
      <c r="E17" t="str">
        <f t="shared" si="0"/>
        <v>25AUGFUT</v>
      </c>
    </row>
    <row r="18" spans="1:5">
      <c r="A18" s="22" t="s">
        <v>1</v>
      </c>
      <c r="B18" s="22" t="s">
        <v>1</v>
      </c>
      <c r="C18" s="22">
        <v>13623298</v>
      </c>
      <c r="D18" s="22">
        <v>53216</v>
      </c>
      <c r="E18" t="str">
        <f t="shared" si="0"/>
        <v>25JULFUT</v>
      </c>
    </row>
    <row r="19" spans="1:5">
      <c r="A19" s="22" t="s">
        <v>81</v>
      </c>
      <c r="B19" s="22" t="s">
        <v>81</v>
      </c>
      <c r="C19" s="22">
        <v>16410370</v>
      </c>
      <c r="D19" s="22">
        <v>64103</v>
      </c>
      <c r="E19" t="str">
        <f t="shared" si="0"/>
        <v>25AUGFUT</v>
      </c>
    </row>
    <row r="20" spans="1:5">
      <c r="A20" s="22" t="s">
        <v>84</v>
      </c>
      <c r="B20" s="22" t="s">
        <v>84</v>
      </c>
      <c r="C20" s="22">
        <v>13622530</v>
      </c>
      <c r="D20" s="22">
        <v>53213</v>
      </c>
      <c r="E20" t="str">
        <f t="shared" si="0"/>
        <v>25JULFUT</v>
      </c>
    </row>
    <row r="21" spans="1:5">
      <c r="A21" s="22" t="s">
        <v>85</v>
      </c>
      <c r="B21" s="22" t="s">
        <v>85</v>
      </c>
      <c r="C21" s="22">
        <v>16409602</v>
      </c>
      <c r="D21" s="22">
        <v>64100</v>
      </c>
      <c r="E21" t="str">
        <f t="shared" si="0"/>
        <v>25AUGFUT</v>
      </c>
    </row>
    <row r="22" spans="1:5">
      <c r="A22" s="22" t="s">
        <v>86</v>
      </c>
      <c r="B22" s="22" t="s">
        <v>86</v>
      </c>
      <c r="C22" s="22">
        <v>13623810</v>
      </c>
      <c r="D22" s="22">
        <v>53218</v>
      </c>
      <c r="E22" t="str">
        <f t="shared" si="0"/>
        <v>25JULFUT</v>
      </c>
    </row>
    <row r="23" spans="1:5">
      <c r="A23" s="22" t="s">
        <v>87</v>
      </c>
      <c r="B23" s="22" t="s">
        <v>87</v>
      </c>
      <c r="C23" s="22">
        <v>13624066</v>
      </c>
      <c r="D23" s="22">
        <v>53219</v>
      </c>
      <c r="E23" t="str">
        <f t="shared" si="0"/>
        <v>25JULFUT</v>
      </c>
    </row>
    <row r="24" spans="1:5">
      <c r="A24" s="22" t="s">
        <v>88</v>
      </c>
      <c r="B24" s="22" t="s">
        <v>88</v>
      </c>
      <c r="C24" s="22">
        <v>16410882</v>
      </c>
      <c r="D24" s="22">
        <v>64105</v>
      </c>
      <c r="E24" t="str">
        <f t="shared" si="0"/>
        <v>25AUGFUT</v>
      </c>
    </row>
    <row r="25" spans="1:5">
      <c r="A25" s="22" t="s">
        <v>89</v>
      </c>
      <c r="B25" s="22" t="s">
        <v>89</v>
      </c>
      <c r="C25" s="22">
        <v>13624322</v>
      </c>
      <c r="D25" s="22">
        <v>53220</v>
      </c>
      <c r="E25" t="str">
        <f t="shared" si="0"/>
        <v>25JULFUT</v>
      </c>
    </row>
    <row r="26" spans="1:5">
      <c r="A26" s="22" t="s">
        <v>90</v>
      </c>
      <c r="B26" s="22" t="s">
        <v>90</v>
      </c>
      <c r="C26" s="22">
        <v>16411138</v>
      </c>
      <c r="D26" s="22">
        <v>64106</v>
      </c>
      <c r="E26" t="str">
        <f t="shared" si="0"/>
        <v>25AUGFUT</v>
      </c>
    </row>
    <row r="27" spans="1:5">
      <c r="A27" s="22" t="s">
        <v>91</v>
      </c>
      <c r="B27" s="22" t="s">
        <v>91</v>
      </c>
      <c r="C27" s="22">
        <v>13624578</v>
      </c>
      <c r="D27" s="22">
        <v>53221</v>
      </c>
      <c r="E27" t="str">
        <f t="shared" si="0"/>
        <v>25JULFUT</v>
      </c>
    </row>
    <row r="28" spans="1:5">
      <c r="A28" s="22" t="s">
        <v>92</v>
      </c>
      <c r="B28" s="22" t="s">
        <v>92</v>
      </c>
      <c r="C28" s="22">
        <v>16411394</v>
      </c>
      <c r="D28" s="22">
        <v>64107</v>
      </c>
      <c r="E28" t="str">
        <f t="shared" si="0"/>
        <v>25AUGFUT</v>
      </c>
    </row>
    <row r="29" spans="1:5">
      <c r="A29" s="22" t="s">
        <v>93</v>
      </c>
      <c r="B29" s="22" t="s">
        <v>93</v>
      </c>
      <c r="C29" s="22">
        <v>13624834</v>
      </c>
      <c r="D29" s="22">
        <v>53222</v>
      </c>
      <c r="E29" t="str">
        <f t="shared" si="0"/>
        <v>25JULFUT</v>
      </c>
    </row>
    <row r="30" spans="1:5">
      <c r="A30" s="22" t="s">
        <v>94</v>
      </c>
      <c r="B30" s="22" t="s">
        <v>94</v>
      </c>
      <c r="C30" s="22">
        <v>13625090</v>
      </c>
      <c r="D30" s="22">
        <v>53223</v>
      </c>
      <c r="E30" t="str">
        <f t="shared" si="0"/>
        <v>25JULFUT</v>
      </c>
    </row>
    <row r="31" spans="1:5">
      <c r="A31" s="22" t="s">
        <v>95</v>
      </c>
      <c r="B31" s="22" t="s">
        <v>95</v>
      </c>
      <c r="C31" s="22">
        <v>16411650</v>
      </c>
      <c r="D31" s="22">
        <v>64108</v>
      </c>
      <c r="E31" t="str">
        <f t="shared" si="0"/>
        <v>25AUGFUT</v>
      </c>
    </row>
    <row r="32" spans="1:5">
      <c r="A32" s="22" t="s">
        <v>96</v>
      </c>
      <c r="B32" s="22" t="s">
        <v>96</v>
      </c>
      <c r="C32" s="22">
        <v>13625346</v>
      </c>
      <c r="D32" s="22">
        <v>53224</v>
      </c>
      <c r="E32" t="str">
        <f t="shared" si="0"/>
        <v>25JULFUT</v>
      </c>
    </row>
    <row r="33" spans="1:5">
      <c r="A33" s="22" t="s">
        <v>97</v>
      </c>
      <c r="B33" s="22" t="s">
        <v>97</v>
      </c>
      <c r="C33" s="22">
        <v>16411906</v>
      </c>
      <c r="D33" s="22">
        <v>64109</v>
      </c>
      <c r="E33" t="str">
        <f t="shared" si="0"/>
        <v>25AUGFUT</v>
      </c>
    </row>
    <row r="34" spans="1:5">
      <c r="A34" s="22" t="s">
        <v>98</v>
      </c>
      <c r="B34" s="22" t="s">
        <v>98</v>
      </c>
      <c r="C34" s="22">
        <v>13625602</v>
      </c>
      <c r="D34" s="22">
        <v>53225</v>
      </c>
      <c r="E34" t="str">
        <f t="shared" si="0"/>
        <v>25JULFUT</v>
      </c>
    </row>
    <row r="35" spans="1:5">
      <c r="A35" s="22" t="s">
        <v>99</v>
      </c>
      <c r="B35" s="22" t="s">
        <v>99</v>
      </c>
      <c r="C35" s="22">
        <v>16412162</v>
      </c>
      <c r="D35" s="22">
        <v>64110</v>
      </c>
      <c r="E35" t="str">
        <f t="shared" si="0"/>
        <v>25AUGFUT</v>
      </c>
    </row>
    <row r="36" spans="1:5">
      <c r="A36" s="22" t="s">
        <v>100</v>
      </c>
      <c r="B36" s="22" t="s">
        <v>100</v>
      </c>
      <c r="C36" s="22">
        <v>13625858</v>
      </c>
      <c r="D36" s="22">
        <v>53226</v>
      </c>
      <c r="E36" t="str">
        <f t="shared" si="0"/>
        <v>25JULFUT</v>
      </c>
    </row>
    <row r="37" spans="1:5">
      <c r="A37" s="22" t="s">
        <v>101</v>
      </c>
      <c r="B37" s="22" t="s">
        <v>101</v>
      </c>
      <c r="C37" s="22">
        <v>16412418</v>
      </c>
      <c r="D37" s="22">
        <v>64111</v>
      </c>
      <c r="E37" t="str">
        <f t="shared" si="0"/>
        <v>25AUGFUT</v>
      </c>
    </row>
    <row r="38" spans="1:5">
      <c r="A38" s="22" t="s">
        <v>102</v>
      </c>
      <c r="B38" s="22" t="s">
        <v>102</v>
      </c>
      <c r="C38" s="22">
        <v>13626114</v>
      </c>
      <c r="D38" s="22">
        <v>53227</v>
      </c>
      <c r="E38" t="str">
        <f t="shared" si="0"/>
        <v>25JULFUT</v>
      </c>
    </row>
    <row r="39" spans="1:5">
      <c r="A39" s="22" t="s">
        <v>103</v>
      </c>
      <c r="B39" s="22" t="s">
        <v>103</v>
      </c>
      <c r="C39" s="22">
        <v>16412674</v>
      </c>
      <c r="D39" s="22">
        <v>64112</v>
      </c>
      <c r="E39" t="str">
        <f t="shared" si="0"/>
        <v>25AUGFUT</v>
      </c>
    </row>
    <row r="40" spans="1:5">
      <c r="A40" s="22" t="s">
        <v>104</v>
      </c>
      <c r="B40" s="22" t="s">
        <v>104</v>
      </c>
      <c r="C40" s="22">
        <v>13628162</v>
      </c>
      <c r="D40" s="22">
        <v>53235</v>
      </c>
      <c r="E40" t="str">
        <f t="shared" si="0"/>
        <v>25JULFUT</v>
      </c>
    </row>
    <row r="41" spans="1:5">
      <c r="A41" s="22" t="s">
        <v>105</v>
      </c>
      <c r="B41" s="22" t="s">
        <v>105</v>
      </c>
      <c r="C41" s="22">
        <v>16412930</v>
      </c>
      <c r="D41" s="22">
        <v>64113</v>
      </c>
      <c r="E41" t="str">
        <f t="shared" si="0"/>
        <v>25AUGFUT</v>
      </c>
    </row>
    <row r="42" spans="1:5">
      <c r="A42" s="22" t="s">
        <v>106</v>
      </c>
      <c r="B42" s="22" t="s">
        <v>106</v>
      </c>
      <c r="C42" s="22">
        <v>13628418</v>
      </c>
      <c r="D42" s="22">
        <v>53236</v>
      </c>
      <c r="E42" t="str">
        <f t="shared" si="0"/>
        <v>25JULFUT</v>
      </c>
    </row>
    <row r="43" spans="1:5">
      <c r="A43" s="22" t="s">
        <v>107</v>
      </c>
      <c r="B43" s="22" t="s">
        <v>107</v>
      </c>
      <c r="C43" s="22">
        <v>16413186</v>
      </c>
      <c r="D43" s="22">
        <v>64114</v>
      </c>
      <c r="E43" t="str">
        <f t="shared" si="0"/>
        <v>25AUGFUT</v>
      </c>
    </row>
    <row r="44" spans="1:5">
      <c r="A44" s="22" t="s">
        <v>108</v>
      </c>
      <c r="B44" s="22" t="s">
        <v>108</v>
      </c>
      <c r="C44" s="22">
        <v>13629442</v>
      </c>
      <c r="D44" s="22">
        <v>53240</v>
      </c>
      <c r="E44" t="str">
        <f t="shared" si="0"/>
        <v>25JULFUT</v>
      </c>
    </row>
    <row r="45" spans="1:5">
      <c r="A45" s="22" t="s">
        <v>109</v>
      </c>
      <c r="B45" s="22" t="s">
        <v>109</v>
      </c>
      <c r="C45" s="22">
        <v>16413442</v>
      </c>
      <c r="D45" s="22">
        <v>64115</v>
      </c>
      <c r="E45" t="str">
        <f t="shared" si="0"/>
        <v>25AUGFUT</v>
      </c>
    </row>
    <row r="46" spans="1:5">
      <c r="A46" s="22" t="s">
        <v>110</v>
      </c>
      <c r="B46" s="22" t="s">
        <v>110</v>
      </c>
      <c r="C46" s="22">
        <v>13629698</v>
      </c>
      <c r="D46" s="22">
        <v>53241</v>
      </c>
      <c r="E46" t="str">
        <f t="shared" si="0"/>
        <v>25JULFUT</v>
      </c>
    </row>
    <row r="47" spans="1:5">
      <c r="A47" s="22" t="s">
        <v>111</v>
      </c>
      <c r="B47" s="22" t="s">
        <v>111</v>
      </c>
      <c r="C47" s="22">
        <v>16413698</v>
      </c>
      <c r="D47" s="22">
        <v>64116</v>
      </c>
      <c r="E47" t="str">
        <f t="shared" si="0"/>
        <v>25AUGFUT</v>
      </c>
    </row>
    <row r="48" spans="1:5">
      <c r="A48" s="22" t="s">
        <v>112</v>
      </c>
      <c r="B48" s="22" t="s">
        <v>112</v>
      </c>
      <c r="C48" s="22">
        <v>13630466</v>
      </c>
      <c r="D48" s="22">
        <v>53244</v>
      </c>
      <c r="E48" t="str">
        <f t="shared" si="0"/>
        <v>25JULFUT</v>
      </c>
    </row>
    <row r="49" spans="1:5">
      <c r="A49" s="22" t="s">
        <v>113</v>
      </c>
      <c r="B49" s="22" t="s">
        <v>113</v>
      </c>
      <c r="C49" s="22">
        <v>16413954</v>
      </c>
      <c r="D49" s="22">
        <v>64117</v>
      </c>
      <c r="E49" t="str">
        <f t="shared" si="0"/>
        <v>25AUGFUT</v>
      </c>
    </row>
    <row r="50" spans="1:5">
      <c r="A50" s="22" t="s">
        <v>114</v>
      </c>
      <c r="B50" s="22" t="s">
        <v>114</v>
      </c>
      <c r="C50" s="22">
        <v>13630722</v>
      </c>
      <c r="D50" s="22">
        <v>53245</v>
      </c>
      <c r="E50" t="str">
        <f t="shared" si="0"/>
        <v>25JULFUT</v>
      </c>
    </row>
    <row r="51" spans="1:5">
      <c r="A51" s="22" t="s">
        <v>115</v>
      </c>
      <c r="B51" s="22" t="s">
        <v>115</v>
      </c>
      <c r="C51" s="22">
        <v>16414210</v>
      </c>
      <c r="D51" s="22">
        <v>64118</v>
      </c>
      <c r="E51" t="str">
        <f t="shared" si="0"/>
        <v>25AUGFUT</v>
      </c>
    </row>
    <row r="52" spans="1:5">
      <c r="A52" s="22" t="s">
        <v>116</v>
      </c>
      <c r="B52" s="22" t="s">
        <v>116</v>
      </c>
      <c r="C52" s="22">
        <v>13630978</v>
      </c>
      <c r="D52" s="22">
        <v>53246</v>
      </c>
      <c r="E52" t="str">
        <f t="shared" si="0"/>
        <v>25JULFUT</v>
      </c>
    </row>
    <row r="53" spans="1:5">
      <c r="A53" s="22" t="s">
        <v>117</v>
      </c>
      <c r="B53" s="22" t="s">
        <v>117</v>
      </c>
      <c r="C53" s="22">
        <v>16414466</v>
      </c>
      <c r="D53" s="22">
        <v>64119</v>
      </c>
      <c r="E53" t="str">
        <f t="shared" si="0"/>
        <v>25AUGFUT</v>
      </c>
    </row>
    <row r="54" spans="1:5">
      <c r="A54" s="22" t="s">
        <v>118</v>
      </c>
      <c r="B54" s="22" t="s">
        <v>118</v>
      </c>
      <c r="C54" s="22">
        <v>13631234</v>
      </c>
      <c r="D54" s="22">
        <v>53247</v>
      </c>
      <c r="E54" t="str">
        <f t="shared" si="0"/>
        <v>25JULFUT</v>
      </c>
    </row>
    <row r="55" spans="1:5">
      <c r="A55" s="22" t="s">
        <v>119</v>
      </c>
      <c r="B55" s="22" t="s">
        <v>119</v>
      </c>
      <c r="C55" s="22">
        <v>16414722</v>
      </c>
      <c r="D55" s="22">
        <v>64120</v>
      </c>
      <c r="E55" t="str">
        <f t="shared" si="0"/>
        <v>25AUGFUT</v>
      </c>
    </row>
    <row r="56" spans="1:5">
      <c r="A56" s="22" t="s">
        <v>120</v>
      </c>
      <c r="B56" s="22" t="s">
        <v>120</v>
      </c>
      <c r="C56" s="22">
        <v>13631490</v>
      </c>
      <c r="D56" s="22">
        <v>53248</v>
      </c>
      <c r="E56" t="str">
        <f t="shared" si="0"/>
        <v>25JULFUT</v>
      </c>
    </row>
    <row r="57" spans="1:5">
      <c r="A57" s="22" t="s">
        <v>121</v>
      </c>
      <c r="B57" s="22" t="s">
        <v>121</v>
      </c>
      <c r="C57" s="22">
        <v>16414978</v>
      </c>
      <c r="D57" s="22">
        <v>64121</v>
      </c>
      <c r="E57" t="str">
        <f t="shared" si="0"/>
        <v>25AUGFUT</v>
      </c>
    </row>
    <row r="58" spans="1:5">
      <c r="A58" s="22" t="s">
        <v>122</v>
      </c>
      <c r="B58" s="22" t="s">
        <v>122</v>
      </c>
      <c r="C58" s="22">
        <v>13631746</v>
      </c>
      <c r="D58" s="22">
        <v>53249</v>
      </c>
      <c r="E58" t="str">
        <f t="shared" si="0"/>
        <v>25JULFUT</v>
      </c>
    </row>
    <row r="59" spans="1:5">
      <c r="A59" s="22" t="s">
        <v>123</v>
      </c>
      <c r="B59" s="22" t="s">
        <v>123</v>
      </c>
      <c r="C59" s="22">
        <v>16436738</v>
      </c>
      <c r="D59" s="22">
        <v>64206</v>
      </c>
      <c r="E59" t="str">
        <f t="shared" si="0"/>
        <v>25AUGFUT</v>
      </c>
    </row>
    <row r="60" spans="1:5">
      <c r="A60" s="22" t="s">
        <v>124</v>
      </c>
      <c r="B60" s="22" t="s">
        <v>124</v>
      </c>
      <c r="C60" s="22">
        <v>13632002</v>
      </c>
      <c r="D60" s="22">
        <v>53250</v>
      </c>
      <c r="E60" t="str">
        <f t="shared" si="0"/>
        <v>25JULFUT</v>
      </c>
    </row>
    <row r="61" spans="1:5">
      <c r="A61" s="22" t="s">
        <v>125</v>
      </c>
      <c r="B61" s="22" t="s">
        <v>125</v>
      </c>
      <c r="C61" s="22">
        <v>16436994</v>
      </c>
      <c r="D61" s="22">
        <v>64207</v>
      </c>
      <c r="E61" t="str">
        <f t="shared" si="0"/>
        <v>25AUGFUT</v>
      </c>
    </row>
    <row r="62" spans="1:5">
      <c r="A62" s="22" t="s">
        <v>126</v>
      </c>
      <c r="B62" s="22" t="s">
        <v>126</v>
      </c>
      <c r="C62" s="22">
        <v>13632258</v>
      </c>
      <c r="D62" s="22">
        <v>53251</v>
      </c>
      <c r="E62" t="str">
        <f t="shared" si="0"/>
        <v>25JULFUT</v>
      </c>
    </row>
    <row r="63" spans="1:5">
      <c r="A63" s="22" t="s">
        <v>127</v>
      </c>
      <c r="B63" s="22" t="s">
        <v>127</v>
      </c>
      <c r="C63" s="22">
        <v>16439554</v>
      </c>
      <c r="D63" s="22">
        <v>64217</v>
      </c>
      <c r="E63" t="str">
        <f t="shared" si="0"/>
        <v>25AUGFUT</v>
      </c>
    </row>
    <row r="64" spans="1:5">
      <c r="A64" s="22" t="s">
        <v>128</v>
      </c>
      <c r="B64" s="22" t="s">
        <v>128</v>
      </c>
      <c r="C64" s="22">
        <v>13632514</v>
      </c>
      <c r="D64" s="22">
        <v>53252</v>
      </c>
      <c r="E64" t="str">
        <f t="shared" si="0"/>
        <v>25JULFUT</v>
      </c>
    </row>
    <row r="65" spans="1:5">
      <c r="A65" s="22" t="s">
        <v>129</v>
      </c>
      <c r="B65" s="22" t="s">
        <v>129</v>
      </c>
      <c r="C65" s="22">
        <v>16440066</v>
      </c>
      <c r="D65" s="22">
        <v>64219</v>
      </c>
      <c r="E65" t="str">
        <f t="shared" si="0"/>
        <v>25AUGFUT</v>
      </c>
    </row>
    <row r="66" spans="1:5">
      <c r="A66" s="22" t="s">
        <v>130</v>
      </c>
      <c r="B66" s="22" t="s">
        <v>130</v>
      </c>
      <c r="C66" s="22">
        <v>13632770</v>
      </c>
      <c r="D66" s="22">
        <v>53253</v>
      </c>
      <c r="E66" t="str">
        <f t="shared" si="0"/>
        <v>25JULFUT</v>
      </c>
    </row>
    <row r="67" spans="1:5">
      <c r="A67" s="22" t="s">
        <v>131</v>
      </c>
      <c r="B67" s="22" t="s">
        <v>131</v>
      </c>
      <c r="C67" s="22">
        <v>16440322</v>
      </c>
      <c r="D67" s="22">
        <v>64220</v>
      </c>
      <c r="E67" t="str">
        <f t="shared" si="0"/>
        <v>25AUGFUT</v>
      </c>
    </row>
    <row r="68" spans="1:5">
      <c r="A68" s="22" t="s">
        <v>132</v>
      </c>
      <c r="B68" s="22" t="s">
        <v>132</v>
      </c>
      <c r="C68" s="22">
        <v>13633026</v>
      </c>
      <c r="D68" s="22">
        <v>53254</v>
      </c>
      <c r="E68" t="str">
        <f t="shared" si="0"/>
        <v>25JULFUT</v>
      </c>
    </row>
    <row r="69" spans="1:5">
      <c r="A69" s="22" t="s">
        <v>133</v>
      </c>
      <c r="B69" s="22" t="s">
        <v>133</v>
      </c>
      <c r="C69" s="22">
        <v>13633282</v>
      </c>
      <c r="D69" s="22">
        <v>53255</v>
      </c>
      <c r="E69" t="str">
        <f t="shared" si="0"/>
        <v>25JULFUT</v>
      </c>
    </row>
    <row r="70" spans="1:5">
      <c r="A70" s="22" t="s">
        <v>134</v>
      </c>
      <c r="B70" s="22" t="s">
        <v>134</v>
      </c>
      <c r="C70" s="22">
        <v>16440578</v>
      </c>
      <c r="D70" s="22">
        <v>64221</v>
      </c>
      <c r="E70" t="str">
        <f t="shared" si="0"/>
        <v>25AUGFUT</v>
      </c>
    </row>
    <row r="71" spans="1:5">
      <c r="A71" s="22" t="s">
        <v>135</v>
      </c>
      <c r="B71" s="22" t="s">
        <v>135</v>
      </c>
      <c r="C71" s="22">
        <v>13633538</v>
      </c>
      <c r="D71" s="22">
        <v>53256</v>
      </c>
      <c r="E71" t="str">
        <f t="shared" si="0"/>
        <v>25JULFUT</v>
      </c>
    </row>
    <row r="72" spans="1:5">
      <c r="A72" s="22" t="s">
        <v>136</v>
      </c>
      <c r="B72" s="22" t="s">
        <v>136</v>
      </c>
      <c r="C72" s="22">
        <v>16440834</v>
      </c>
      <c r="D72" s="22">
        <v>64222</v>
      </c>
      <c r="E72" t="str">
        <f t="shared" si="0"/>
        <v>25AUGFUT</v>
      </c>
    </row>
    <row r="73" spans="1:5">
      <c r="A73" s="22" t="s">
        <v>137</v>
      </c>
      <c r="B73" s="22" t="s">
        <v>137</v>
      </c>
      <c r="C73" s="22">
        <v>13633794</v>
      </c>
      <c r="D73" s="22">
        <v>53257</v>
      </c>
      <c r="E73" t="str">
        <f t="shared" si="0"/>
        <v>25JULFUT</v>
      </c>
    </row>
    <row r="74" spans="1:5">
      <c r="A74" s="22" t="s">
        <v>138</v>
      </c>
      <c r="B74" s="22" t="s">
        <v>138</v>
      </c>
      <c r="C74" s="22">
        <v>16441090</v>
      </c>
      <c r="D74" s="22">
        <v>64223</v>
      </c>
      <c r="E74" t="str">
        <f t="shared" si="0"/>
        <v>25AUGFUT</v>
      </c>
    </row>
    <row r="75" spans="1:5">
      <c r="A75" s="22" t="s">
        <v>139</v>
      </c>
      <c r="B75" s="22" t="s">
        <v>139</v>
      </c>
      <c r="C75" s="22">
        <v>16441602</v>
      </c>
      <c r="D75" s="22">
        <v>64225</v>
      </c>
      <c r="E75" t="str">
        <f t="shared" si="0"/>
        <v>25JULFUT</v>
      </c>
    </row>
    <row r="76" spans="1:5">
      <c r="A76" s="22" t="s">
        <v>140</v>
      </c>
      <c r="B76" s="22" t="s">
        <v>140</v>
      </c>
      <c r="C76" s="22">
        <v>16441858</v>
      </c>
      <c r="D76" s="22">
        <v>64226</v>
      </c>
      <c r="E76" t="str">
        <f t="shared" si="0"/>
        <v>25AUGFUT</v>
      </c>
    </row>
    <row r="77" spans="1:5">
      <c r="A77" s="22" t="s">
        <v>141</v>
      </c>
      <c r="B77" s="22" t="s">
        <v>141</v>
      </c>
      <c r="C77" s="22">
        <v>13634050</v>
      </c>
      <c r="D77" s="22">
        <v>53258</v>
      </c>
      <c r="E77" t="str">
        <f t="shared" si="0"/>
        <v>25JULFUT</v>
      </c>
    </row>
    <row r="78" spans="1:5">
      <c r="A78" s="22" t="s">
        <v>142</v>
      </c>
      <c r="B78" s="22" t="s">
        <v>142</v>
      </c>
      <c r="C78" s="22">
        <v>16442114</v>
      </c>
      <c r="D78" s="22">
        <v>64227</v>
      </c>
      <c r="E78" t="str">
        <f t="shared" ref="E78:E141" si="1">RIGHT(B78,8)</f>
        <v>25AUGFUT</v>
      </c>
    </row>
    <row r="79" spans="1:5">
      <c r="A79" s="22" t="s">
        <v>143</v>
      </c>
      <c r="B79" s="22" t="s">
        <v>143</v>
      </c>
      <c r="C79" s="22">
        <v>13634306</v>
      </c>
      <c r="D79" s="22">
        <v>53259</v>
      </c>
      <c r="E79" t="str">
        <f t="shared" si="1"/>
        <v>25JULFUT</v>
      </c>
    </row>
    <row r="80" spans="1:5">
      <c r="A80" s="22" t="s">
        <v>144</v>
      </c>
      <c r="B80" s="22" t="s">
        <v>144</v>
      </c>
      <c r="C80" s="22">
        <v>16442370</v>
      </c>
      <c r="D80" s="22">
        <v>64228</v>
      </c>
      <c r="E80" t="str">
        <f t="shared" si="1"/>
        <v>25AUGFUT</v>
      </c>
    </row>
    <row r="81" spans="1:5">
      <c r="A81" s="22" t="s">
        <v>145</v>
      </c>
      <c r="B81" s="22" t="s">
        <v>145</v>
      </c>
      <c r="C81" s="22">
        <v>13634562</v>
      </c>
      <c r="D81" s="22">
        <v>53260</v>
      </c>
      <c r="E81" t="str">
        <f t="shared" si="1"/>
        <v>25JULFUT</v>
      </c>
    </row>
    <row r="82" spans="1:5">
      <c r="A82" s="22" t="s">
        <v>146</v>
      </c>
      <c r="B82" s="22" t="s">
        <v>146</v>
      </c>
      <c r="C82" s="22">
        <v>16442626</v>
      </c>
      <c r="D82" s="22">
        <v>64229</v>
      </c>
      <c r="E82" t="str">
        <f t="shared" si="1"/>
        <v>25AUGFUT</v>
      </c>
    </row>
    <row r="83" spans="1:5">
      <c r="A83" s="22" t="s">
        <v>147</v>
      </c>
      <c r="B83" s="22" t="s">
        <v>147</v>
      </c>
      <c r="C83" s="22">
        <v>13634818</v>
      </c>
      <c r="D83" s="22">
        <v>53261</v>
      </c>
      <c r="E83" t="str">
        <f t="shared" si="1"/>
        <v>25JULFUT</v>
      </c>
    </row>
    <row r="84" spans="1:5">
      <c r="A84" s="22" t="s">
        <v>148</v>
      </c>
      <c r="B84" s="22" t="s">
        <v>148</v>
      </c>
      <c r="C84" s="22">
        <v>16442882</v>
      </c>
      <c r="D84" s="22">
        <v>64230</v>
      </c>
      <c r="E84" t="str">
        <f t="shared" si="1"/>
        <v>25AUGFUT</v>
      </c>
    </row>
    <row r="85" spans="1:5">
      <c r="A85" s="22" t="s">
        <v>149</v>
      </c>
      <c r="B85" s="22" t="s">
        <v>149</v>
      </c>
      <c r="C85" s="22">
        <v>13635074</v>
      </c>
      <c r="D85" s="22">
        <v>53262</v>
      </c>
      <c r="E85" t="str">
        <f t="shared" si="1"/>
        <v>25JULFUT</v>
      </c>
    </row>
    <row r="86" spans="1:5">
      <c r="A86" s="22" t="s">
        <v>150</v>
      </c>
      <c r="B86" s="22" t="s">
        <v>150</v>
      </c>
      <c r="C86" s="22">
        <v>16443138</v>
      </c>
      <c r="D86" s="22">
        <v>64231</v>
      </c>
      <c r="E86" t="str">
        <f t="shared" si="1"/>
        <v>25AUGFUT</v>
      </c>
    </row>
    <row r="87" spans="1:5">
      <c r="A87" s="22" t="s">
        <v>151</v>
      </c>
      <c r="B87" s="22" t="s">
        <v>151</v>
      </c>
      <c r="C87" s="22">
        <v>16443650</v>
      </c>
      <c r="D87" s="22">
        <v>64233</v>
      </c>
      <c r="E87" t="str">
        <f t="shared" si="1"/>
        <v>25JULFUT</v>
      </c>
    </row>
    <row r="88" spans="1:5">
      <c r="A88" s="22" t="s">
        <v>152</v>
      </c>
      <c r="B88" s="22" t="s">
        <v>152</v>
      </c>
      <c r="C88" s="22">
        <v>16447490</v>
      </c>
      <c r="D88" s="22">
        <v>64248</v>
      </c>
      <c r="E88" t="str">
        <f t="shared" si="1"/>
        <v>25AUGFUT</v>
      </c>
    </row>
    <row r="89" spans="1:5">
      <c r="A89" s="22" t="s">
        <v>153</v>
      </c>
      <c r="B89" s="22" t="s">
        <v>153</v>
      </c>
      <c r="C89" s="22">
        <v>13635330</v>
      </c>
      <c r="D89" s="22">
        <v>53263</v>
      </c>
      <c r="E89" t="str">
        <f t="shared" si="1"/>
        <v>25JULFUT</v>
      </c>
    </row>
    <row r="90" spans="1:5">
      <c r="A90" s="22" t="s">
        <v>154</v>
      </c>
      <c r="B90" s="22" t="s">
        <v>154</v>
      </c>
      <c r="C90" s="22">
        <v>16447746</v>
      </c>
      <c r="D90" s="22">
        <v>64249</v>
      </c>
      <c r="E90" t="str">
        <f t="shared" si="1"/>
        <v>25AUGFUT</v>
      </c>
    </row>
    <row r="91" spans="1:5">
      <c r="A91" s="22" t="s">
        <v>155</v>
      </c>
      <c r="B91" s="22" t="s">
        <v>155</v>
      </c>
      <c r="C91" s="22">
        <v>13635586</v>
      </c>
      <c r="D91" s="22">
        <v>53264</v>
      </c>
      <c r="E91" t="str">
        <f t="shared" si="1"/>
        <v>25JULFUT</v>
      </c>
    </row>
    <row r="92" spans="1:5">
      <c r="A92" s="22" t="s">
        <v>156</v>
      </c>
      <c r="B92" s="22" t="s">
        <v>156</v>
      </c>
      <c r="C92" s="22">
        <v>16479234</v>
      </c>
      <c r="D92" s="22">
        <v>64372</v>
      </c>
      <c r="E92" t="str">
        <f t="shared" si="1"/>
        <v>25AUGFUT</v>
      </c>
    </row>
    <row r="93" spans="1:5">
      <c r="A93" s="22" t="s">
        <v>157</v>
      </c>
      <c r="B93" s="22" t="s">
        <v>157</v>
      </c>
      <c r="C93" s="22">
        <v>13635842</v>
      </c>
      <c r="D93" s="22">
        <v>53265</v>
      </c>
      <c r="E93" t="str">
        <f t="shared" si="1"/>
        <v>25JULFUT</v>
      </c>
    </row>
    <row r="94" spans="1:5">
      <c r="A94" s="22" t="s">
        <v>158</v>
      </c>
      <c r="B94" s="22" t="s">
        <v>158</v>
      </c>
      <c r="C94" s="22">
        <v>16479490</v>
      </c>
      <c r="D94" s="22">
        <v>64373</v>
      </c>
      <c r="E94" t="str">
        <f t="shared" si="1"/>
        <v>25AUGFUT</v>
      </c>
    </row>
    <row r="95" spans="1:5">
      <c r="A95" s="22" t="s">
        <v>159</v>
      </c>
      <c r="B95" s="22" t="s">
        <v>159</v>
      </c>
      <c r="C95" s="22">
        <v>13636610</v>
      </c>
      <c r="D95" s="22">
        <v>53268</v>
      </c>
      <c r="E95" t="str">
        <f t="shared" si="1"/>
        <v>25JULFUT</v>
      </c>
    </row>
    <row r="96" spans="1:5">
      <c r="A96" s="22" t="s">
        <v>160</v>
      </c>
      <c r="B96" s="22" t="s">
        <v>160</v>
      </c>
      <c r="C96" s="22">
        <v>16480770</v>
      </c>
      <c r="D96" s="22">
        <v>64378</v>
      </c>
      <c r="E96" t="str">
        <f t="shared" si="1"/>
        <v>25AUGFUT</v>
      </c>
    </row>
    <row r="97" spans="1:5">
      <c r="A97" s="22" t="s">
        <v>161</v>
      </c>
      <c r="B97" s="22" t="s">
        <v>161</v>
      </c>
      <c r="C97" s="22">
        <v>13636866</v>
      </c>
      <c r="D97" s="22">
        <v>53269</v>
      </c>
      <c r="E97" t="str">
        <f t="shared" si="1"/>
        <v>25JULFUT</v>
      </c>
    </row>
    <row r="98" spans="1:5">
      <c r="A98" s="22" t="s">
        <v>162</v>
      </c>
      <c r="B98" s="22" t="s">
        <v>162</v>
      </c>
      <c r="C98" s="22">
        <v>13637122</v>
      </c>
      <c r="D98" s="22">
        <v>53270</v>
      </c>
      <c r="E98" t="str">
        <f t="shared" si="1"/>
        <v>25JULFUT</v>
      </c>
    </row>
    <row r="99" spans="1:5">
      <c r="A99" s="22" t="s">
        <v>163</v>
      </c>
      <c r="B99" s="22" t="s">
        <v>163</v>
      </c>
      <c r="C99" s="22">
        <v>16481026</v>
      </c>
      <c r="D99" s="22">
        <v>64379</v>
      </c>
      <c r="E99" t="str">
        <f t="shared" si="1"/>
        <v>25AUGFUT</v>
      </c>
    </row>
    <row r="100" spans="1:5">
      <c r="A100" s="22" t="s">
        <v>164</v>
      </c>
      <c r="B100" s="22" t="s">
        <v>164</v>
      </c>
      <c r="C100" s="22">
        <v>13637890</v>
      </c>
      <c r="D100" s="22">
        <v>53273</v>
      </c>
      <c r="E100" t="str">
        <f t="shared" si="1"/>
        <v>25JULFUT</v>
      </c>
    </row>
    <row r="101" spans="1:5">
      <c r="A101" s="22" t="s">
        <v>165</v>
      </c>
      <c r="B101" s="22" t="s">
        <v>165</v>
      </c>
      <c r="C101" s="22">
        <v>16481282</v>
      </c>
      <c r="D101" s="22">
        <v>64380</v>
      </c>
      <c r="E101" t="str">
        <f t="shared" si="1"/>
        <v>25AUGFUT</v>
      </c>
    </row>
    <row r="102" spans="1:5">
      <c r="A102" s="22" t="s">
        <v>166</v>
      </c>
      <c r="B102" s="22" t="s">
        <v>166</v>
      </c>
      <c r="C102" s="22">
        <v>13638146</v>
      </c>
      <c r="D102" s="22">
        <v>53274</v>
      </c>
      <c r="E102" t="str">
        <f t="shared" si="1"/>
        <v>25JULFUT</v>
      </c>
    </row>
    <row r="103" spans="1:5">
      <c r="A103" s="22" t="s">
        <v>167</v>
      </c>
      <c r="B103" s="22" t="s">
        <v>167</v>
      </c>
      <c r="C103" s="22">
        <v>16481538</v>
      </c>
      <c r="D103" s="22">
        <v>64381</v>
      </c>
      <c r="E103" t="str">
        <f t="shared" si="1"/>
        <v>25AUGFUT</v>
      </c>
    </row>
    <row r="104" spans="1:5">
      <c r="A104" s="22" t="s">
        <v>168</v>
      </c>
      <c r="B104" s="22" t="s">
        <v>168</v>
      </c>
      <c r="C104" s="22">
        <v>13638402</v>
      </c>
      <c r="D104" s="22">
        <v>53275</v>
      </c>
      <c r="E104" t="str">
        <f t="shared" si="1"/>
        <v>25JULFUT</v>
      </c>
    </row>
    <row r="105" spans="1:5">
      <c r="A105" s="22" t="s">
        <v>169</v>
      </c>
      <c r="B105" s="22" t="s">
        <v>169</v>
      </c>
      <c r="C105" s="22">
        <v>16481794</v>
      </c>
      <c r="D105" s="22">
        <v>64382</v>
      </c>
      <c r="E105" t="str">
        <f t="shared" si="1"/>
        <v>25AUGFUT</v>
      </c>
    </row>
    <row r="106" spans="1:5">
      <c r="A106" s="22" t="s">
        <v>170</v>
      </c>
      <c r="B106" s="22" t="s">
        <v>170</v>
      </c>
      <c r="C106" s="22">
        <v>13638658</v>
      </c>
      <c r="D106" s="22">
        <v>53276</v>
      </c>
      <c r="E106" t="str">
        <f t="shared" si="1"/>
        <v>25JULFUT</v>
      </c>
    </row>
    <row r="107" spans="1:5">
      <c r="A107" s="22" t="s">
        <v>171</v>
      </c>
      <c r="B107" s="22" t="s">
        <v>171</v>
      </c>
      <c r="C107" s="22">
        <v>16482050</v>
      </c>
      <c r="D107" s="22">
        <v>64383</v>
      </c>
      <c r="E107" t="str">
        <f t="shared" si="1"/>
        <v>25AUGFUT</v>
      </c>
    </row>
    <row r="108" spans="1:5">
      <c r="A108" s="22" t="s">
        <v>172</v>
      </c>
      <c r="B108" s="22" t="s">
        <v>172</v>
      </c>
      <c r="C108" s="22">
        <v>13638914</v>
      </c>
      <c r="D108" s="22">
        <v>53277</v>
      </c>
      <c r="E108" t="str">
        <f t="shared" si="1"/>
        <v>25JULFUT</v>
      </c>
    </row>
    <row r="109" spans="1:5">
      <c r="A109" s="22" t="s">
        <v>173</v>
      </c>
      <c r="B109" s="22" t="s">
        <v>173</v>
      </c>
      <c r="C109" s="22">
        <v>13639170</v>
      </c>
      <c r="D109" s="22">
        <v>53278</v>
      </c>
      <c r="E109" t="str">
        <f t="shared" si="1"/>
        <v>25JULFUT</v>
      </c>
    </row>
    <row r="110" spans="1:5">
      <c r="A110" s="22" t="s">
        <v>174</v>
      </c>
      <c r="B110" s="22" t="s">
        <v>174</v>
      </c>
      <c r="C110" s="22">
        <v>16483074</v>
      </c>
      <c r="D110" s="22">
        <v>64387</v>
      </c>
      <c r="E110" t="str">
        <f t="shared" si="1"/>
        <v>25AUGFUT</v>
      </c>
    </row>
    <row r="111" spans="1:5">
      <c r="A111" s="22" t="s">
        <v>175</v>
      </c>
      <c r="B111" s="22" t="s">
        <v>175</v>
      </c>
      <c r="C111" s="22">
        <v>13639426</v>
      </c>
      <c r="D111" s="22">
        <v>53279</v>
      </c>
      <c r="E111" t="str">
        <f t="shared" si="1"/>
        <v>25JULFUT</v>
      </c>
    </row>
    <row r="112" spans="1:5">
      <c r="A112" s="22" t="s">
        <v>176</v>
      </c>
      <c r="B112" s="22" t="s">
        <v>176</v>
      </c>
      <c r="C112" s="22">
        <v>16483330</v>
      </c>
      <c r="D112" s="22">
        <v>64388</v>
      </c>
      <c r="E112" t="str">
        <f t="shared" si="1"/>
        <v>25AUGFUT</v>
      </c>
    </row>
    <row r="113" spans="1:5">
      <c r="A113" s="22" t="s">
        <v>177</v>
      </c>
      <c r="B113" s="22" t="s">
        <v>177</v>
      </c>
      <c r="C113" s="22">
        <v>13639682</v>
      </c>
      <c r="D113" s="22">
        <v>53280</v>
      </c>
      <c r="E113" t="str">
        <f t="shared" si="1"/>
        <v>25JULFUT</v>
      </c>
    </row>
    <row r="114" spans="1:5">
      <c r="A114" s="22" t="s">
        <v>178</v>
      </c>
      <c r="B114" s="22" t="s">
        <v>178</v>
      </c>
      <c r="C114" s="22">
        <v>16483842</v>
      </c>
      <c r="D114" s="22">
        <v>64390</v>
      </c>
      <c r="E114" t="str">
        <f t="shared" si="1"/>
        <v>25AUGFUT</v>
      </c>
    </row>
    <row r="115" spans="1:5">
      <c r="A115" s="22" t="s">
        <v>179</v>
      </c>
      <c r="B115" s="22" t="s">
        <v>179</v>
      </c>
      <c r="C115" s="22">
        <v>13639938</v>
      </c>
      <c r="D115" s="22">
        <v>53281</v>
      </c>
      <c r="E115" t="str">
        <f t="shared" si="1"/>
        <v>25JULFUT</v>
      </c>
    </row>
    <row r="116" spans="1:5">
      <c r="A116" s="22" t="s">
        <v>180</v>
      </c>
      <c r="B116" s="22" t="s">
        <v>180</v>
      </c>
      <c r="C116" s="22">
        <v>16484098</v>
      </c>
      <c r="D116" s="22">
        <v>64391</v>
      </c>
      <c r="E116" t="str">
        <f t="shared" si="1"/>
        <v>25AUGFUT</v>
      </c>
    </row>
    <row r="117" spans="1:5">
      <c r="A117" s="22" t="s">
        <v>181</v>
      </c>
      <c r="B117" s="22" t="s">
        <v>181</v>
      </c>
      <c r="C117" s="22">
        <v>13640706</v>
      </c>
      <c r="D117" s="22">
        <v>53284</v>
      </c>
      <c r="E117" t="str">
        <f t="shared" si="1"/>
        <v>25JULFUT</v>
      </c>
    </row>
    <row r="118" spans="1:5">
      <c r="A118" s="22" t="s">
        <v>182</v>
      </c>
      <c r="B118" s="22" t="s">
        <v>182</v>
      </c>
      <c r="C118" s="22">
        <v>16484354</v>
      </c>
      <c r="D118" s="22">
        <v>64392</v>
      </c>
      <c r="E118" t="str">
        <f t="shared" si="1"/>
        <v>25AUGFUT</v>
      </c>
    </row>
    <row r="119" spans="1:5">
      <c r="A119" s="22" t="s">
        <v>183</v>
      </c>
      <c r="B119" s="22" t="s">
        <v>183</v>
      </c>
      <c r="C119" s="22">
        <v>13641986</v>
      </c>
      <c r="D119" s="22">
        <v>53289</v>
      </c>
      <c r="E119" t="str">
        <f t="shared" si="1"/>
        <v>25JULFUT</v>
      </c>
    </row>
    <row r="120" spans="1:5">
      <c r="A120" s="22" t="s">
        <v>184</v>
      </c>
      <c r="B120" s="22" t="s">
        <v>184</v>
      </c>
      <c r="C120" s="22">
        <v>16484610</v>
      </c>
      <c r="D120" s="22">
        <v>64393</v>
      </c>
      <c r="E120" t="str">
        <f t="shared" si="1"/>
        <v>25AUGFUT</v>
      </c>
    </row>
    <row r="121" spans="1:5">
      <c r="A121" s="22" t="s">
        <v>185</v>
      </c>
      <c r="B121" s="22" t="s">
        <v>185</v>
      </c>
      <c r="C121" s="22">
        <v>13642242</v>
      </c>
      <c r="D121" s="22">
        <v>53290</v>
      </c>
      <c r="E121" t="str">
        <f t="shared" si="1"/>
        <v>25JULFUT</v>
      </c>
    </row>
    <row r="122" spans="1:5">
      <c r="A122" s="22" t="s">
        <v>186</v>
      </c>
      <c r="B122" s="22" t="s">
        <v>186</v>
      </c>
      <c r="C122" s="22">
        <v>16484866</v>
      </c>
      <c r="D122" s="22">
        <v>64394</v>
      </c>
      <c r="E122" t="str">
        <f t="shared" si="1"/>
        <v>25AUGFUT</v>
      </c>
    </row>
    <row r="123" spans="1:5">
      <c r="A123" s="22" t="s">
        <v>187</v>
      </c>
      <c r="B123" s="22" t="s">
        <v>187</v>
      </c>
      <c r="C123" s="22">
        <v>13642498</v>
      </c>
      <c r="D123" s="22">
        <v>53291</v>
      </c>
      <c r="E123" t="str">
        <f t="shared" si="1"/>
        <v>25JULFUT</v>
      </c>
    </row>
    <row r="124" spans="1:5">
      <c r="A124" s="22" t="s">
        <v>188</v>
      </c>
      <c r="B124" s="22" t="s">
        <v>188</v>
      </c>
      <c r="C124" s="22">
        <v>16485122</v>
      </c>
      <c r="D124" s="22">
        <v>64395</v>
      </c>
      <c r="E124" t="str">
        <f t="shared" si="1"/>
        <v>25AUGFUT</v>
      </c>
    </row>
    <row r="125" spans="1:5">
      <c r="A125" s="22" t="s">
        <v>189</v>
      </c>
      <c r="B125" s="22" t="s">
        <v>189</v>
      </c>
      <c r="C125" s="22">
        <v>13642754</v>
      </c>
      <c r="D125" s="22">
        <v>53292</v>
      </c>
      <c r="E125" t="str">
        <f t="shared" si="1"/>
        <v>25JULFUT</v>
      </c>
    </row>
    <row r="126" spans="1:5">
      <c r="A126" s="22" t="s">
        <v>190</v>
      </c>
      <c r="B126" s="22" t="s">
        <v>190</v>
      </c>
      <c r="C126" s="22">
        <v>16485378</v>
      </c>
      <c r="D126" s="22">
        <v>64396</v>
      </c>
      <c r="E126" t="str">
        <f t="shared" si="1"/>
        <v>25AUGFUT</v>
      </c>
    </row>
    <row r="127" spans="1:5">
      <c r="A127" s="22" t="s">
        <v>191</v>
      </c>
      <c r="B127" s="22" t="s">
        <v>191</v>
      </c>
      <c r="C127" s="22">
        <v>13643010</v>
      </c>
      <c r="D127" s="22">
        <v>53293</v>
      </c>
      <c r="E127" t="str">
        <f t="shared" si="1"/>
        <v>25JULFUT</v>
      </c>
    </row>
    <row r="128" spans="1:5">
      <c r="A128" s="22" t="s">
        <v>192</v>
      </c>
      <c r="B128" s="22" t="s">
        <v>192</v>
      </c>
      <c r="C128" s="22">
        <v>16485634</v>
      </c>
      <c r="D128" s="22">
        <v>64397</v>
      </c>
      <c r="E128" t="str">
        <f t="shared" si="1"/>
        <v>25AUGFUT</v>
      </c>
    </row>
    <row r="129" spans="1:5">
      <c r="A129" s="22" t="s">
        <v>193</v>
      </c>
      <c r="B129" s="22" t="s">
        <v>193</v>
      </c>
      <c r="C129" s="22">
        <v>13643266</v>
      </c>
      <c r="D129" s="22">
        <v>53294</v>
      </c>
      <c r="E129" t="str">
        <f t="shared" si="1"/>
        <v>25JULFUT</v>
      </c>
    </row>
    <row r="130" spans="1:5">
      <c r="A130" s="22" t="s">
        <v>194</v>
      </c>
      <c r="B130" s="22" t="s">
        <v>194</v>
      </c>
      <c r="C130" s="22">
        <v>16485890</v>
      </c>
      <c r="D130" s="22">
        <v>64398</v>
      </c>
      <c r="E130" t="str">
        <f t="shared" si="1"/>
        <v>25AUGFUT</v>
      </c>
    </row>
    <row r="131" spans="1:5">
      <c r="A131" s="22" t="s">
        <v>195</v>
      </c>
      <c r="B131" s="22" t="s">
        <v>195</v>
      </c>
      <c r="C131" s="22">
        <v>13643522</v>
      </c>
      <c r="D131" s="22">
        <v>53295</v>
      </c>
      <c r="E131" t="str">
        <f t="shared" si="1"/>
        <v>25JULFUT</v>
      </c>
    </row>
    <row r="132" spans="1:5">
      <c r="A132" s="22" t="s">
        <v>196</v>
      </c>
      <c r="B132" s="22" t="s">
        <v>196</v>
      </c>
      <c r="C132" s="22">
        <v>16486146</v>
      </c>
      <c r="D132" s="22">
        <v>64399</v>
      </c>
      <c r="E132" t="str">
        <f t="shared" si="1"/>
        <v>25AUGFUT</v>
      </c>
    </row>
    <row r="133" spans="1:5">
      <c r="A133" s="22" t="s">
        <v>197</v>
      </c>
      <c r="B133" s="22" t="s">
        <v>197</v>
      </c>
      <c r="C133" s="22">
        <v>13643778</v>
      </c>
      <c r="D133" s="22">
        <v>53296</v>
      </c>
      <c r="E133" t="str">
        <f t="shared" si="1"/>
        <v>25JULFUT</v>
      </c>
    </row>
    <row r="134" spans="1:5">
      <c r="A134" s="22" t="s">
        <v>198</v>
      </c>
      <c r="B134" s="22" t="s">
        <v>198</v>
      </c>
      <c r="C134" s="22">
        <v>16486402</v>
      </c>
      <c r="D134" s="22">
        <v>64400</v>
      </c>
      <c r="E134" t="str">
        <f t="shared" si="1"/>
        <v>25AUGFUT</v>
      </c>
    </row>
    <row r="135" spans="1:5">
      <c r="A135" s="22" t="s">
        <v>199</v>
      </c>
      <c r="B135" s="22" t="s">
        <v>199</v>
      </c>
      <c r="C135" s="22">
        <v>13644034</v>
      </c>
      <c r="D135" s="22">
        <v>53297</v>
      </c>
      <c r="E135" t="str">
        <f t="shared" si="1"/>
        <v>25JULFUT</v>
      </c>
    </row>
    <row r="136" spans="1:5">
      <c r="A136" s="22" t="s">
        <v>200</v>
      </c>
      <c r="B136" s="22" t="s">
        <v>200</v>
      </c>
      <c r="C136" s="22">
        <v>16486658</v>
      </c>
      <c r="D136" s="22">
        <v>64401</v>
      </c>
      <c r="E136" t="str">
        <f t="shared" si="1"/>
        <v>25AUGFUT</v>
      </c>
    </row>
    <row r="137" spans="1:5">
      <c r="A137" s="22" t="s">
        <v>201</v>
      </c>
      <c r="B137" s="22" t="s">
        <v>201</v>
      </c>
      <c r="C137" s="22">
        <v>13644290</v>
      </c>
      <c r="D137" s="22">
        <v>53298</v>
      </c>
      <c r="E137" t="str">
        <f t="shared" si="1"/>
        <v>25JULFUT</v>
      </c>
    </row>
    <row r="138" spans="1:5">
      <c r="A138" s="22" t="s">
        <v>202</v>
      </c>
      <c r="B138" s="22" t="s">
        <v>202</v>
      </c>
      <c r="C138" s="22">
        <v>16486914</v>
      </c>
      <c r="D138" s="22">
        <v>64402</v>
      </c>
      <c r="E138" t="str">
        <f t="shared" si="1"/>
        <v>25AUGFUT</v>
      </c>
    </row>
    <row r="139" spans="1:5">
      <c r="A139" s="22" t="s">
        <v>203</v>
      </c>
      <c r="B139" s="22" t="s">
        <v>203</v>
      </c>
      <c r="C139" s="22">
        <v>13644546</v>
      </c>
      <c r="D139" s="22">
        <v>53299</v>
      </c>
      <c r="E139" t="str">
        <f t="shared" si="1"/>
        <v>25JULFUT</v>
      </c>
    </row>
    <row r="140" spans="1:5">
      <c r="A140" s="22" t="s">
        <v>204</v>
      </c>
      <c r="B140" s="22" t="s">
        <v>204</v>
      </c>
      <c r="C140" s="22">
        <v>16487170</v>
      </c>
      <c r="D140" s="22">
        <v>64403</v>
      </c>
      <c r="E140" t="str">
        <f t="shared" si="1"/>
        <v>25AUGFUT</v>
      </c>
    </row>
    <row r="141" spans="1:5">
      <c r="A141" s="22" t="s">
        <v>205</v>
      </c>
      <c r="B141" s="22" t="s">
        <v>205</v>
      </c>
      <c r="C141" s="22">
        <v>13644802</v>
      </c>
      <c r="D141" s="22">
        <v>53300</v>
      </c>
      <c r="E141" t="str">
        <f t="shared" si="1"/>
        <v>25JULFUT</v>
      </c>
    </row>
    <row r="142" spans="1:5">
      <c r="A142" s="22" t="s">
        <v>206</v>
      </c>
      <c r="B142" s="22" t="s">
        <v>206</v>
      </c>
      <c r="C142" s="22">
        <v>16487426</v>
      </c>
      <c r="D142" s="22">
        <v>64404</v>
      </c>
      <c r="E142" t="str">
        <f t="shared" ref="E142:E205" si="2">RIGHT(B142,8)</f>
        <v>25AUGFUT</v>
      </c>
    </row>
    <row r="143" spans="1:5">
      <c r="A143" s="22" t="s">
        <v>207</v>
      </c>
      <c r="B143" s="22" t="s">
        <v>207</v>
      </c>
      <c r="C143" s="22">
        <v>13645058</v>
      </c>
      <c r="D143" s="22">
        <v>53301</v>
      </c>
      <c r="E143" t="str">
        <f t="shared" si="2"/>
        <v>25JULFUT</v>
      </c>
    </row>
    <row r="144" spans="1:5">
      <c r="A144" s="22" t="s">
        <v>208</v>
      </c>
      <c r="B144" s="22" t="s">
        <v>208</v>
      </c>
      <c r="C144" s="22">
        <v>16487682</v>
      </c>
      <c r="D144" s="22">
        <v>64405</v>
      </c>
      <c r="E144" t="str">
        <f t="shared" si="2"/>
        <v>25AUGFUT</v>
      </c>
    </row>
    <row r="145" spans="1:14">
      <c r="A145" s="22" t="s">
        <v>209</v>
      </c>
      <c r="B145" s="22" t="s">
        <v>209</v>
      </c>
      <c r="C145" s="22">
        <v>13645314</v>
      </c>
      <c r="D145" s="22">
        <v>53302</v>
      </c>
      <c r="E145" t="str">
        <f t="shared" si="2"/>
        <v>25JULFUT</v>
      </c>
    </row>
    <row r="146" spans="1:14">
      <c r="A146" s="22" t="s">
        <v>210</v>
      </c>
      <c r="B146" s="22" t="s">
        <v>210</v>
      </c>
      <c r="C146" s="22">
        <v>16488194</v>
      </c>
      <c r="D146" s="22">
        <v>64407</v>
      </c>
      <c r="E146" t="str">
        <f t="shared" si="2"/>
        <v>25AUGFUT</v>
      </c>
    </row>
    <row r="147" spans="1:14">
      <c r="A147" s="22" t="s">
        <v>211</v>
      </c>
      <c r="B147" s="22" t="s">
        <v>211</v>
      </c>
      <c r="C147" s="22">
        <v>13645570</v>
      </c>
      <c r="D147" s="22">
        <v>53303</v>
      </c>
      <c r="E147" t="str">
        <f t="shared" si="2"/>
        <v>25JULFUT</v>
      </c>
    </row>
    <row r="148" spans="1:14">
      <c r="A148" s="22" t="s">
        <v>212</v>
      </c>
      <c r="B148" s="22" t="s">
        <v>212</v>
      </c>
      <c r="C148" s="22">
        <v>16488706</v>
      </c>
      <c r="D148" s="22">
        <v>64409</v>
      </c>
      <c r="E148" t="str">
        <f t="shared" si="2"/>
        <v>25AUGFUT</v>
      </c>
    </row>
    <row r="149" spans="1:14">
      <c r="A149" s="22" t="s">
        <v>213</v>
      </c>
      <c r="B149" s="22" t="s">
        <v>213</v>
      </c>
      <c r="C149" s="22">
        <v>13645826</v>
      </c>
      <c r="D149" s="22">
        <v>53304</v>
      </c>
      <c r="E149" t="str">
        <f t="shared" si="2"/>
        <v>25JULFUT</v>
      </c>
    </row>
    <row r="150" spans="1:14">
      <c r="A150" s="22" t="s">
        <v>214</v>
      </c>
      <c r="B150" s="22" t="s">
        <v>214</v>
      </c>
      <c r="C150" s="22">
        <v>16488962</v>
      </c>
      <c r="D150" s="22">
        <v>64410</v>
      </c>
      <c r="E150" t="str">
        <f t="shared" si="2"/>
        <v>25AUGFUT</v>
      </c>
    </row>
    <row r="151" spans="1:14">
      <c r="A151" s="22" t="s">
        <v>215</v>
      </c>
      <c r="B151" s="22" t="s">
        <v>215</v>
      </c>
      <c r="C151" s="22">
        <v>13622786</v>
      </c>
      <c r="D151" s="22">
        <v>53214</v>
      </c>
      <c r="E151" t="str">
        <f t="shared" si="2"/>
        <v>25JULFUT</v>
      </c>
    </row>
    <row r="152" spans="1:14">
      <c r="A152" s="22" t="s">
        <v>216</v>
      </c>
      <c r="B152" s="22" t="s">
        <v>216</v>
      </c>
      <c r="C152" s="22">
        <v>16409858</v>
      </c>
      <c r="D152" s="22">
        <v>64101</v>
      </c>
      <c r="E152" t="str">
        <f t="shared" si="2"/>
        <v>25AUGFUT</v>
      </c>
    </row>
    <row r="153" spans="1:14">
      <c r="A153" s="22" t="s">
        <v>217</v>
      </c>
      <c r="B153" s="22" t="s">
        <v>217</v>
      </c>
      <c r="C153" s="22">
        <v>16489474</v>
      </c>
      <c r="D153" s="22">
        <v>64412</v>
      </c>
      <c r="E153" t="str">
        <f t="shared" si="2"/>
        <v>25JULFUT</v>
      </c>
      <c r="N153">
        <v>2580.1999999999998</v>
      </c>
    </row>
    <row r="154" spans="1:14">
      <c r="A154" s="22" t="s">
        <v>218</v>
      </c>
      <c r="B154" s="22" t="s">
        <v>218</v>
      </c>
      <c r="C154" s="22">
        <v>16489730</v>
      </c>
      <c r="D154" s="22">
        <v>64413</v>
      </c>
      <c r="E154" t="str">
        <f t="shared" si="2"/>
        <v>25AUGFUT</v>
      </c>
    </row>
    <row r="155" spans="1:14">
      <c r="A155" s="22" t="s">
        <v>219</v>
      </c>
      <c r="B155" s="22" t="s">
        <v>219</v>
      </c>
      <c r="C155" s="22">
        <v>13646082</v>
      </c>
      <c r="D155" s="22">
        <v>53305</v>
      </c>
      <c r="E155" t="str">
        <f t="shared" si="2"/>
        <v>25JULFUT</v>
      </c>
    </row>
    <row r="156" spans="1:14">
      <c r="A156" s="22" t="s">
        <v>220</v>
      </c>
      <c r="B156" s="22" t="s">
        <v>220</v>
      </c>
      <c r="C156" s="22">
        <v>16489986</v>
      </c>
      <c r="D156" s="22">
        <v>64414</v>
      </c>
      <c r="E156" t="str">
        <f t="shared" si="2"/>
        <v>25AUGFUT</v>
      </c>
    </row>
    <row r="157" spans="1:14">
      <c r="A157" s="22" t="s">
        <v>221</v>
      </c>
      <c r="B157" s="22" t="s">
        <v>221</v>
      </c>
      <c r="C157" s="22">
        <v>13646338</v>
      </c>
      <c r="D157" s="22">
        <v>53306</v>
      </c>
      <c r="E157" t="str">
        <f t="shared" si="2"/>
        <v>25JULFUT</v>
      </c>
    </row>
    <row r="158" spans="1:14">
      <c r="A158" s="22" t="s">
        <v>222</v>
      </c>
      <c r="B158" s="22" t="s">
        <v>222</v>
      </c>
      <c r="C158" s="22">
        <v>16490242</v>
      </c>
      <c r="D158" s="22">
        <v>64415</v>
      </c>
      <c r="E158" t="str">
        <f t="shared" si="2"/>
        <v>25AUGFUT</v>
      </c>
    </row>
    <row r="159" spans="1:14">
      <c r="A159" s="22" t="s">
        <v>223</v>
      </c>
      <c r="B159" s="22" t="s">
        <v>223</v>
      </c>
      <c r="C159" s="22">
        <v>13646594</v>
      </c>
      <c r="D159" s="22">
        <v>53307</v>
      </c>
      <c r="E159" t="str">
        <f t="shared" si="2"/>
        <v>25JULFUT</v>
      </c>
    </row>
    <row r="160" spans="1:14">
      <c r="A160" s="22" t="s">
        <v>224</v>
      </c>
      <c r="B160" s="22" t="s">
        <v>224</v>
      </c>
      <c r="C160" s="22">
        <v>16490498</v>
      </c>
      <c r="D160" s="22">
        <v>64416</v>
      </c>
      <c r="E160" t="str">
        <f t="shared" si="2"/>
        <v>25AUGFUT</v>
      </c>
    </row>
    <row r="161" spans="1:5">
      <c r="A161" s="22" t="s">
        <v>225</v>
      </c>
      <c r="B161" s="22" t="s">
        <v>225</v>
      </c>
      <c r="C161" s="22">
        <v>13646850</v>
      </c>
      <c r="D161" s="22">
        <v>53308</v>
      </c>
      <c r="E161" t="str">
        <f t="shared" si="2"/>
        <v>25JULFUT</v>
      </c>
    </row>
    <row r="162" spans="1:5">
      <c r="A162" s="22" t="s">
        <v>226</v>
      </c>
      <c r="B162" s="22" t="s">
        <v>226</v>
      </c>
      <c r="C162" s="22">
        <v>16490754</v>
      </c>
      <c r="D162" s="22">
        <v>64417</v>
      </c>
      <c r="E162" t="str">
        <f t="shared" si="2"/>
        <v>25AUGFUT</v>
      </c>
    </row>
    <row r="163" spans="1:5">
      <c r="A163" s="22" t="s">
        <v>227</v>
      </c>
      <c r="B163" s="22" t="s">
        <v>227</v>
      </c>
      <c r="C163" s="22">
        <v>13647106</v>
      </c>
      <c r="D163" s="22">
        <v>53309</v>
      </c>
      <c r="E163" t="str">
        <f t="shared" si="2"/>
        <v>25JULFUT</v>
      </c>
    </row>
    <row r="164" spans="1:5">
      <c r="A164" s="22" t="s">
        <v>228</v>
      </c>
      <c r="B164" s="22" t="s">
        <v>228</v>
      </c>
      <c r="C164" s="22">
        <v>16491010</v>
      </c>
      <c r="D164" s="22">
        <v>64418</v>
      </c>
      <c r="E164" t="str">
        <f t="shared" si="2"/>
        <v>25AUGFUT</v>
      </c>
    </row>
    <row r="165" spans="1:5">
      <c r="A165" s="22" t="s">
        <v>229</v>
      </c>
      <c r="B165" s="22" t="s">
        <v>229</v>
      </c>
      <c r="C165" s="22">
        <v>13647362</v>
      </c>
      <c r="D165" s="22">
        <v>53310</v>
      </c>
      <c r="E165" t="str">
        <f t="shared" si="2"/>
        <v>25JULFUT</v>
      </c>
    </row>
    <row r="166" spans="1:5">
      <c r="A166" s="22" t="s">
        <v>230</v>
      </c>
      <c r="B166" s="22" t="s">
        <v>230</v>
      </c>
      <c r="C166" s="22">
        <v>16491266</v>
      </c>
      <c r="D166" s="22">
        <v>64419</v>
      </c>
      <c r="E166" t="str">
        <f t="shared" si="2"/>
        <v>25AUGFUT</v>
      </c>
    </row>
    <row r="167" spans="1:5">
      <c r="A167" s="22" t="s">
        <v>231</v>
      </c>
      <c r="B167" s="22" t="s">
        <v>231</v>
      </c>
      <c r="C167" s="22">
        <v>13647618</v>
      </c>
      <c r="D167" s="22">
        <v>53311</v>
      </c>
      <c r="E167" t="str">
        <f t="shared" si="2"/>
        <v>25JULFUT</v>
      </c>
    </row>
    <row r="168" spans="1:5">
      <c r="A168" s="22" t="s">
        <v>232</v>
      </c>
      <c r="B168" s="22" t="s">
        <v>232</v>
      </c>
      <c r="C168" s="22">
        <v>16491522</v>
      </c>
      <c r="D168" s="22">
        <v>64420</v>
      </c>
      <c r="E168" t="str">
        <f t="shared" si="2"/>
        <v>25AUGFUT</v>
      </c>
    </row>
    <row r="169" spans="1:5">
      <c r="A169" s="22" t="s">
        <v>233</v>
      </c>
      <c r="B169" s="22" t="s">
        <v>233</v>
      </c>
      <c r="C169" s="22">
        <v>13647874</v>
      </c>
      <c r="D169" s="22">
        <v>53312</v>
      </c>
      <c r="E169" t="str">
        <f t="shared" si="2"/>
        <v>25JULFUT</v>
      </c>
    </row>
    <row r="170" spans="1:5">
      <c r="A170" s="22" t="s">
        <v>234</v>
      </c>
      <c r="B170" s="22" t="s">
        <v>234</v>
      </c>
      <c r="C170" s="22">
        <v>16491778</v>
      </c>
      <c r="D170" s="22">
        <v>64421</v>
      </c>
      <c r="E170" t="str">
        <f t="shared" si="2"/>
        <v>25AUGFUT</v>
      </c>
    </row>
    <row r="171" spans="1:5">
      <c r="A171" s="22" t="s">
        <v>235</v>
      </c>
      <c r="B171" s="22" t="s">
        <v>235</v>
      </c>
      <c r="C171" s="22">
        <v>13648130</v>
      </c>
      <c r="D171" s="22">
        <v>53313</v>
      </c>
      <c r="E171" t="str">
        <f t="shared" si="2"/>
        <v>25JULFUT</v>
      </c>
    </row>
    <row r="172" spans="1:5">
      <c r="A172" s="22" t="s">
        <v>236</v>
      </c>
      <c r="B172" s="22" t="s">
        <v>236</v>
      </c>
      <c r="C172" s="22">
        <v>16492034</v>
      </c>
      <c r="D172" s="22">
        <v>64422</v>
      </c>
      <c r="E172" t="str">
        <f t="shared" si="2"/>
        <v>25AUGFUT</v>
      </c>
    </row>
    <row r="173" spans="1:5">
      <c r="A173" s="22" t="s">
        <v>237</v>
      </c>
      <c r="B173" s="22" t="s">
        <v>237</v>
      </c>
      <c r="C173" s="22">
        <v>13648386</v>
      </c>
      <c r="D173" s="22">
        <v>53314</v>
      </c>
      <c r="E173" t="str">
        <f t="shared" si="2"/>
        <v>25JULFUT</v>
      </c>
    </row>
    <row r="174" spans="1:5">
      <c r="A174" s="22" t="s">
        <v>238</v>
      </c>
      <c r="B174" s="22" t="s">
        <v>238</v>
      </c>
      <c r="C174" s="22">
        <v>16492290</v>
      </c>
      <c r="D174" s="22">
        <v>64423</v>
      </c>
      <c r="E174" t="str">
        <f t="shared" si="2"/>
        <v>25AUGFUT</v>
      </c>
    </row>
    <row r="175" spans="1:5">
      <c r="A175" s="22" t="s">
        <v>239</v>
      </c>
      <c r="B175" s="22" t="s">
        <v>239</v>
      </c>
      <c r="C175" s="22">
        <v>13648642</v>
      </c>
      <c r="D175" s="22">
        <v>53315</v>
      </c>
      <c r="E175" t="str">
        <f t="shared" si="2"/>
        <v>25JULFUT</v>
      </c>
    </row>
    <row r="176" spans="1:5">
      <c r="A176" s="22" t="s">
        <v>240</v>
      </c>
      <c r="B176" s="22" t="s">
        <v>240</v>
      </c>
      <c r="C176" s="22">
        <v>16492546</v>
      </c>
      <c r="D176" s="22">
        <v>64424</v>
      </c>
      <c r="E176" t="str">
        <f t="shared" si="2"/>
        <v>25AUGFUT</v>
      </c>
    </row>
    <row r="177" spans="1:5">
      <c r="A177" s="22" t="s">
        <v>241</v>
      </c>
      <c r="B177" s="22" t="s">
        <v>241</v>
      </c>
      <c r="C177" s="22">
        <v>13648898</v>
      </c>
      <c r="D177" s="22">
        <v>53316</v>
      </c>
      <c r="E177" t="str">
        <f t="shared" si="2"/>
        <v>25JULFUT</v>
      </c>
    </row>
    <row r="178" spans="1:5">
      <c r="A178" s="22" t="s">
        <v>242</v>
      </c>
      <c r="B178" s="22" t="s">
        <v>242</v>
      </c>
      <c r="C178" s="22">
        <v>16492802</v>
      </c>
      <c r="D178" s="22">
        <v>64425</v>
      </c>
      <c r="E178" t="str">
        <f t="shared" si="2"/>
        <v>25AUGFUT</v>
      </c>
    </row>
    <row r="179" spans="1:5">
      <c r="A179" s="22" t="s">
        <v>243</v>
      </c>
      <c r="B179" s="22" t="s">
        <v>243</v>
      </c>
      <c r="C179" s="22">
        <v>13649154</v>
      </c>
      <c r="D179" s="22">
        <v>53317</v>
      </c>
      <c r="E179" t="str">
        <f t="shared" si="2"/>
        <v>25JULFUT</v>
      </c>
    </row>
    <row r="180" spans="1:5">
      <c r="A180" s="22" t="s">
        <v>244</v>
      </c>
      <c r="B180" s="22" t="s">
        <v>244</v>
      </c>
      <c r="C180" s="22">
        <v>16493058</v>
      </c>
      <c r="D180" s="22">
        <v>64426</v>
      </c>
      <c r="E180" t="str">
        <f t="shared" si="2"/>
        <v>25AUGFUT</v>
      </c>
    </row>
    <row r="181" spans="1:5">
      <c r="A181" s="22" t="s">
        <v>245</v>
      </c>
      <c r="B181" s="22" t="s">
        <v>245</v>
      </c>
      <c r="C181" s="22">
        <v>13649410</v>
      </c>
      <c r="D181" s="22">
        <v>53318</v>
      </c>
      <c r="E181" t="str">
        <f t="shared" si="2"/>
        <v>25JULFUT</v>
      </c>
    </row>
    <row r="182" spans="1:5">
      <c r="A182" s="22" t="s">
        <v>246</v>
      </c>
      <c r="B182" s="22" t="s">
        <v>246</v>
      </c>
      <c r="C182" s="22">
        <v>16493314</v>
      </c>
      <c r="D182" s="22">
        <v>64427</v>
      </c>
      <c r="E182" t="str">
        <f t="shared" si="2"/>
        <v>25AUGFUT</v>
      </c>
    </row>
    <row r="183" spans="1:5">
      <c r="A183" s="22" t="s">
        <v>247</v>
      </c>
      <c r="B183" s="22" t="s">
        <v>247</v>
      </c>
      <c r="C183" s="22">
        <v>13649666</v>
      </c>
      <c r="D183" s="22">
        <v>53319</v>
      </c>
      <c r="E183" t="str">
        <f t="shared" si="2"/>
        <v>25JULFUT</v>
      </c>
    </row>
    <row r="184" spans="1:5">
      <c r="A184" s="22" t="s">
        <v>248</v>
      </c>
      <c r="B184" s="22" t="s">
        <v>248</v>
      </c>
      <c r="C184" s="22">
        <v>16493570</v>
      </c>
      <c r="D184" s="22">
        <v>64428</v>
      </c>
      <c r="E184" t="str">
        <f t="shared" si="2"/>
        <v>25AUGFUT</v>
      </c>
    </row>
    <row r="185" spans="1:5">
      <c r="A185" s="22" t="s">
        <v>249</v>
      </c>
      <c r="B185" s="22" t="s">
        <v>249</v>
      </c>
      <c r="C185" s="22">
        <v>13650178</v>
      </c>
      <c r="D185" s="22">
        <v>53321</v>
      </c>
      <c r="E185" t="str">
        <f t="shared" si="2"/>
        <v>25JULFUT</v>
      </c>
    </row>
    <row r="186" spans="1:5">
      <c r="A186" s="22" t="s">
        <v>250</v>
      </c>
      <c r="B186" s="22" t="s">
        <v>250</v>
      </c>
      <c r="C186" s="22">
        <v>16493826</v>
      </c>
      <c r="D186" s="22">
        <v>64429</v>
      </c>
      <c r="E186" t="str">
        <f t="shared" si="2"/>
        <v>25AUGFUT</v>
      </c>
    </row>
    <row r="187" spans="1:5">
      <c r="A187" s="22" t="s">
        <v>251</v>
      </c>
      <c r="B187" s="22" t="s">
        <v>251</v>
      </c>
      <c r="C187" s="22">
        <v>13650434</v>
      </c>
      <c r="D187" s="22">
        <v>53322</v>
      </c>
      <c r="E187" t="str">
        <f t="shared" si="2"/>
        <v>25JULFUT</v>
      </c>
    </row>
    <row r="188" spans="1:5">
      <c r="A188" s="22" t="s">
        <v>252</v>
      </c>
      <c r="B188" s="22" t="s">
        <v>252</v>
      </c>
      <c r="C188" s="22">
        <v>13650690</v>
      </c>
      <c r="D188" s="22">
        <v>53323</v>
      </c>
      <c r="E188" t="str">
        <f t="shared" si="2"/>
        <v>25JULFUT</v>
      </c>
    </row>
    <row r="189" spans="1:5">
      <c r="A189" s="22" t="s">
        <v>253</v>
      </c>
      <c r="B189" s="22" t="s">
        <v>253</v>
      </c>
      <c r="C189" s="22">
        <v>16494082</v>
      </c>
      <c r="D189" s="22">
        <v>64430</v>
      </c>
      <c r="E189" t="str">
        <f t="shared" si="2"/>
        <v>25AUGFUT</v>
      </c>
    </row>
    <row r="190" spans="1:5">
      <c r="A190" s="22" t="s">
        <v>254</v>
      </c>
      <c r="B190" s="22" t="s">
        <v>254</v>
      </c>
      <c r="C190" s="22">
        <v>13650946</v>
      </c>
      <c r="D190" s="22">
        <v>53324</v>
      </c>
      <c r="E190" t="str">
        <f t="shared" si="2"/>
        <v>25JULFUT</v>
      </c>
    </row>
    <row r="191" spans="1:5">
      <c r="A191" s="22" t="s">
        <v>255</v>
      </c>
      <c r="B191" s="22" t="s">
        <v>255</v>
      </c>
      <c r="C191" s="22">
        <v>16494338</v>
      </c>
      <c r="D191" s="22">
        <v>64431</v>
      </c>
      <c r="E191" t="str">
        <f t="shared" si="2"/>
        <v>25AUGFUT</v>
      </c>
    </row>
    <row r="192" spans="1:5">
      <c r="A192" s="22" t="s">
        <v>256</v>
      </c>
      <c r="B192" s="22" t="s">
        <v>256</v>
      </c>
      <c r="C192" s="22">
        <v>13651202</v>
      </c>
      <c r="D192" s="22">
        <v>53325</v>
      </c>
      <c r="E192" t="str">
        <f t="shared" si="2"/>
        <v>25JULFUT</v>
      </c>
    </row>
    <row r="193" spans="1:5">
      <c r="A193" s="22" t="s">
        <v>257</v>
      </c>
      <c r="B193" s="22" t="s">
        <v>257</v>
      </c>
      <c r="C193" s="22">
        <v>16494594</v>
      </c>
      <c r="D193" s="22">
        <v>64432</v>
      </c>
      <c r="E193" t="str">
        <f t="shared" si="2"/>
        <v>25AUGFUT</v>
      </c>
    </row>
    <row r="194" spans="1:5">
      <c r="A194" s="22" t="s">
        <v>258</v>
      </c>
      <c r="B194" s="22" t="s">
        <v>258</v>
      </c>
      <c r="C194" s="22">
        <v>13651458</v>
      </c>
      <c r="D194" s="22">
        <v>53326</v>
      </c>
      <c r="E194" t="str">
        <f t="shared" si="2"/>
        <v>25JULFUT</v>
      </c>
    </row>
    <row r="195" spans="1:5">
      <c r="A195" s="22" t="s">
        <v>259</v>
      </c>
      <c r="B195" s="22" t="s">
        <v>259</v>
      </c>
      <c r="C195" s="22">
        <v>16494850</v>
      </c>
      <c r="D195" s="22">
        <v>64433</v>
      </c>
      <c r="E195" t="str">
        <f t="shared" si="2"/>
        <v>25AUGFUT</v>
      </c>
    </row>
    <row r="196" spans="1:5">
      <c r="A196" s="22" t="s">
        <v>260</v>
      </c>
      <c r="B196" s="22" t="s">
        <v>260</v>
      </c>
      <c r="C196" s="22">
        <v>13651714</v>
      </c>
      <c r="D196" s="22">
        <v>53327</v>
      </c>
      <c r="E196" t="str">
        <f t="shared" si="2"/>
        <v>25JULFUT</v>
      </c>
    </row>
    <row r="197" spans="1:5">
      <c r="A197" s="22" t="s">
        <v>261</v>
      </c>
      <c r="B197" s="22" t="s">
        <v>261</v>
      </c>
      <c r="C197" s="22">
        <v>16495106</v>
      </c>
      <c r="D197" s="22">
        <v>64434</v>
      </c>
      <c r="E197" t="str">
        <f t="shared" si="2"/>
        <v>25AUGFUT</v>
      </c>
    </row>
    <row r="198" spans="1:5">
      <c r="A198" s="22" t="s">
        <v>262</v>
      </c>
      <c r="B198" s="22" t="s">
        <v>262</v>
      </c>
      <c r="C198" s="22">
        <v>13651970</v>
      </c>
      <c r="D198" s="22">
        <v>53328</v>
      </c>
      <c r="E198" t="str">
        <f t="shared" si="2"/>
        <v>25JULFUT</v>
      </c>
    </row>
    <row r="199" spans="1:5">
      <c r="A199" s="22" t="s">
        <v>263</v>
      </c>
      <c r="B199" s="22" t="s">
        <v>263</v>
      </c>
      <c r="C199" s="22">
        <v>16495362</v>
      </c>
      <c r="D199" s="22">
        <v>64435</v>
      </c>
      <c r="E199" t="str">
        <f t="shared" si="2"/>
        <v>25AUGFUT</v>
      </c>
    </row>
    <row r="200" spans="1:5">
      <c r="A200" s="22" t="s">
        <v>264</v>
      </c>
      <c r="B200" s="22" t="s">
        <v>264</v>
      </c>
      <c r="C200" s="22">
        <v>13652226</v>
      </c>
      <c r="D200" s="22">
        <v>53329</v>
      </c>
      <c r="E200" t="str">
        <f t="shared" si="2"/>
        <v>25JULFUT</v>
      </c>
    </row>
    <row r="201" spans="1:5">
      <c r="A201" s="22" t="s">
        <v>265</v>
      </c>
      <c r="B201" s="22" t="s">
        <v>265</v>
      </c>
      <c r="C201" s="22">
        <v>16495618</v>
      </c>
      <c r="D201" s="22">
        <v>64436</v>
      </c>
      <c r="E201" t="str">
        <f t="shared" si="2"/>
        <v>25AUGFUT</v>
      </c>
    </row>
    <row r="202" spans="1:5">
      <c r="A202" s="22" t="s">
        <v>266</v>
      </c>
      <c r="B202" s="22" t="s">
        <v>266</v>
      </c>
      <c r="C202" s="22">
        <v>13652482</v>
      </c>
      <c r="D202" s="22">
        <v>53330</v>
      </c>
      <c r="E202" t="str">
        <f t="shared" si="2"/>
        <v>25JULFUT</v>
      </c>
    </row>
    <row r="203" spans="1:5">
      <c r="A203" s="22" t="s">
        <v>267</v>
      </c>
      <c r="B203" s="22" t="s">
        <v>267</v>
      </c>
      <c r="C203" s="22">
        <v>16495874</v>
      </c>
      <c r="D203" s="22">
        <v>64437</v>
      </c>
      <c r="E203" t="str">
        <f t="shared" si="2"/>
        <v>25AUGFUT</v>
      </c>
    </row>
    <row r="204" spans="1:5">
      <c r="A204" s="22" t="s">
        <v>268</v>
      </c>
      <c r="B204" s="22" t="s">
        <v>268</v>
      </c>
      <c r="C204" s="22">
        <v>13653506</v>
      </c>
      <c r="D204" s="22">
        <v>53334</v>
      </c>
      <c r="E204" t="str">
        <f t="shared" si="2"/>
        <v>25JULFUT</v>
      </c>
    </row>
    <row r="205" spans="1:5">
      <c r="A205" s="22" t="s">
        <v>269</v>
      </c>
      <c r="B205" s="22" t="s">
        <v>269</v>
      </c>
      <c r="C205" s="22">
        <v>16496130</v>
      </c>
      <c r="D205" s="22">
        <v>64438</v>
      </c>
      <c r="E205" t="str">
        <f t="shared" si="2"/>
        <v>25AUGFUT</v>
      </c>
    </row>
    <row r="206" spans="1:5">
      <c r="A206" s="22" t="s">
        <v>270</v>
      </c>
      <c r="B206" s="22" t="s">
        <v>270</v>
      </c>
      <c r="C206" s="22">
        <v>13653762</v>
      </c>
      <c r="D206" s="22">
        <v>53335</v>
      </c>
      <c r="E206" t="str">
        <f t="shared" ref="E206:E269" si="3">RIGHT(B206,8)</f>
        <v>25JULFUT</v>
      </c>
    </row>
    <row r="207" spans="1:5">
      <c r="A207" s="22" t="s">
        <v>271</v>
      </c>
      <c r="B207" s="22" t="s">
        <v>271</v>
      </c>
      <c r="C207" s="22">
        <v>16496386</v>
      </c>
      <c r="D207" s="22">
        <v>64439</v>
      </c>
      <c r="E207" t="str">
        <f t="shared" si="3"/>
        <v>25AUGFUT</v>
      </c>
    </row>
    <row r="208" spans="1:5">
      <c r="A208" s="22" t="s">
        <v>272</v>
      </c>
      <c r="B208" s="22" t="s">
        <v>272</v>
      </c>
      <c r="C208" s="22">
        <v>13654018</v>
      </c>
      <c r="D208" s="22">
        <v>53336</v>
      </c>
      <c r="E208" t="str">
        <f t="shared" si="3"/>
        <v>25JULFUT</v>
      </c>
    </row>
    <row r="209" spans="1:5">
      <c r="A209" s="22" t="s">
        <v>273</v>
      </c>
      <c r="B209" s="22" t="s">
        <v>273</v>
      </c>
      <c r="C209" s="22">
        <v>16496642</v>
      </c>
      <c r="D209" s="22">
        <v>64440</v>
      </c>
      <c r="E209" t="str">
        <f t="shared" si="3"/>
        <v>25AUGFUT</v>
      </c>
    </row>
    <row r="210" spans="1:5">
      <c r="A210" s="22" t="s">
        <v>274</v>
      </c>
      <c r="B210" s="22" t="s">
        <v>274</v>
      </c>
      <c r="C210" s="22">
        <v>13654274</v>
      </c>
      <c r="D210" s="22">
        <v>53337</v>
      </c>
      <c r="E210" t="str">
        <f t="shared" si="3"/>
        <v>25JULFUT</v>
      </c>
    </row>
    <row r="211" spans="1:5">
      <c r="A211" s="22" t="s">
        <v>275</v>
      </c>
      <c r="B211" s="22" t="s">
        <v>275</v>
      </c>
      <c r="C211" s="22">
        <v>16496898</v>
      </c>
      <c r="D211" s="22">
        <v>64441</v>
      </c>
      <c r="E211" t="str">
        <f t="shared" si="3"/>
        <v>25AUGFUT</v>
      </c>
    </row>
    <row r="212" spans="1:5">
      <c r="A212" s="22" t="s">
        <v>276</v>
      </c>
      <c r="B212" s="22" t="s">
        <v>276</v>
      </c>
      <c r="C212" s="22">
        <v>13654530</v>
      </c>
      <c r="D212" s="22">
        <v>53338</v>
      </c>
      <c r="E212" t="str">
        <f t="shared" si="3"/>
        <v>25JULFUT</v>
      </c>
    </row>
    <row r="213" spans="1:5">
      <c r="A213" s="22" t="s">
        <v>277</v>
      </c>
      <c r="B213" s="22" t="s">
        <v>277</v>
      </c>
      <c r="C213" s="22">
        <v>16497154</v>
      </c>
      <c r="D213" s="22">
        <v>64442</v>
      </c>
      <c r="E213" t="str">
        <f t="shared" si="3"/>
        <v>25AUGFUT</v>
      </c>
    </row>
    <row r="214" spans="1:5">
      <c r="A214" s="22" t="s">
        <v>278</v>
      </c>
      <c r="B214" s="22" t="s">
        <v>278</v>
      </c>
      <c r="C214" s="22">
        <v>13654786</v>
      </c>
      <c r="D214" s="22">
        <v>53339</v>
      </c>
      <c r="E214" t="str">
        <f t="shared" si="3"/>
        <v>25JULFUT</v>
      </c>
    </row>
    <row r="215" spans="1:5">
      <c r="A215" s="22" t="s">
        <v>279</v>
      </c>
      <c r="B215" s="22" t="s">
        <v>279</v>
      </c>
      <c r="C215" s="22">
        <v>16497410</v>
      </c>
      <c r="D215" s="22">
        <v>64443</v>
      </c>
      <c r="E215" t="str">
        <f t="shared" si="3"/>
        <v>25AUGFUT</v>
      </c>
    </row>
    <row r="216" spans="1:5">
      <c r="A216" s="22" t="s">
        <v>280</v>
      </c>
      <c r="B216" s="22" t="s">
        <v>280</v>
      </c>
      <c r="C216" s="22">
        <v>13655042</v>
      </c>
      <c r="D216" s="22">
        <v>53340</v>
      </c>
      <c r="E216" t="str">
        <f t="shared" si="3"/>
        <v>25JULFUT</v>
      </c>
    </row>
    <row r="217" spans="1:5">
      <c r="A217" s="22" t="s">
        <v>281</v>
      </c>
      <c r="B217" s="22" t="s">
        <v>281</v>
      </c>
      <c r="C217" s="22">
        <v>16499458</v>
      </c>
      <c r="D217" s="22">
        <v>64451</v>
      </c>
      <c r="E217" t="str">
        <f t="shared" si="3"/>
        <v>25AUGFUT</v>
      </c>
    </row>
    <row r="218" spans="1:5">
      <c r="A218" s="22" t="s">
        <v>282</v>
      </c>
      <c r="B218" s="22" t="s">
        <v>282</v>
      </c>
      <c r="C218" s="22">
        <v>13655298</v>
      </c>
      <c r="D218" s="22">
        <v>53341</v>
      </c>
      <c r="E218" t="str">
        <f t="shared" si="3"/>
        <v>25JULFUT</v>
      </c>
    </row>
    <row r="219" spans="1:5">
      <c r="A219" s="22" t="s">
        <v>283</v>
      </c>
      <c r="B219" s="22" t="s">
        <v>283</v>
      </c>
      <c r="C219" s="22">
        <v>16499714</v>
      </c>
      <c r="D219" s="22">
        <v>64452</v>
      </c>
      <c r="E219" t="str">
        <f t="shared" si="3"/>
        <v>25AUGFUT</v>
      </c>
    </row>
    <row r="220" spans="1:5">
      <c r="A220" s="22" t="s">
        <v>284</v>
      </c>
      <c r="B220" s="22" t="s">
        <v>284</v>
      </c>
      <c r="C220" s="22">
        <v>13655554</v>
      </c>
      <c r="D220" s="22">
        <v>53342</v>
      </c>
      <c r="E220" t="str">
        <f t="shared" si="3"/>
        <v>25JULFUT</v>
      </c>
    </row>
    <row r="221" spans="1:5">
      <c r="A221" s="22" t="s">
        <v>285</v>
      </c>
      <c r="B221" s="22" t="s">
        <v>285</v>
      </c>
      <c r="C221" s="22">
        <v>16499970</v>
      </c>
      <c r="D221" s="22">
        <v>64453</v>
      </c>
      <c r="E221" t="str">
        <f t="shared" si="3"/>
        <v>25AUGFUT</v>
      </c>
    </row>
    <row r="222" spans="1:5">
      <c r="A222" s="22" t="s">
        <v>286</v>
      </c>
      <c r="B222" s="22" t="s">
        <v>286</v>
      </c>
      <c r="C222" s="22">
        <v>13655810</v>
      </c>
      <c r="D222" s="22">
        <v>53343</v>
      </c>
      <c r="E222" t="str">
        <f t="shared" si="3"/>
        <v>25JULFUT</v>
      </c>
    </row>
    <row r="223" spans="1:5">
      <c r="A223" s="22" t="s">
        <v>287</v>
      </c>
      <c r="B223" s="22" t="s">
        <v>287</v>
      </c>
      <c r="C223" s="22">
        <v>16500226</v>
      </c>
      <c r="D223" s="22">
        <v>64454</v>
      </c>
      <c r="E223" t="str">
        <f t="shared" si="3"/>
        <v>25AUGFUT</v>
      </c>
    </row>
    <row r="224" spans="1:5">
      <c r="A224" s="22" t="s">
        <v>288</v>
      </c>
      <c r="B224" s="22" t="s">
        <v>288</v>
      </c>
      <c r="C224" s="22">
        <v>13656066</v>
      </c>
      <c r="D224" s="22">
        <v>53344</v>
      </c>
      <c r="E224" t="str">
        <f t="shared" si="3"/>
        <v>25JULFUT</v>
      </c>
    </row>
    <row r="225" spans="1:5">
      <c r="A225" s="22" t="s">
        <v>289</v>
      </c>
      <c r="B225" s="22" t="s">
        <v>289</v>
      </c>
      <c r="C225" s="22">
        <v>16500738</v>
      </c>
      <c r="D225" s="22">
        <v>64456</v>
      </c>
      <c r="E225" t="str">
        <f t="shared" si="3"/>
        <v>25AUGFUT</v>
      </c>
    </row>
    <row r="226" spans="1:5">
      <c r="A226" s="22" t="s">
        <v>290</v>
      </c>
      <c r="B226" s="22" t="s">
        <v>290</v>
      </c>
      <c r="C226" s="22">
        <v>13656322</v>
      </c>
      <c r="D226" s="22">
        <v>53345</v>
      </c>
      <c r="E226" t="str">
        <f t="shared" si="3"/>
        <v>25JULFUT</v>
      </c>
    </row>
    <row r="227" spans="1:5">
      <c r="A227" s="22" t="s">
        <v>291</v>
      </c>
      <c r="B227" s="22" t="s">
        <v>291</v>
      </c>
      <c r="C227" s="22">
        <v>16500994</v>
      </c>
      <c r="D227" s="22">
        <v>64457</v>
      </c>
      <c r="E227" t="str">
        <f t="shared" si="3"/>
        <v>25AUGFUT</v>
      </c>
    </row>
    <row r="228" spans="1:5">
      <c r="A228" s="22" t="s">
        <v>292</v>
      </c>
      <c r="B228" s="22" t="s">
        <v>292</v>
      </c>
      <c r="C228" s="22">
        <v>13656578</v>
      </c>
      <c r="D228" s="22">
        <v>53346</v>
      </c>
      <c r="E228" t="str">
        <f t="shared" si="3"/>
        <v>25JULFUT</v>
      </c>
    </row>
    <row r="229" spans="1:5">
      <c r="A229" s="22" t="s">
        <v>293</v>
      </c>
      <c r="B229" s="22" t="s">
        <v>293</v>
      </c>
      <c r="C229" s="22">
        <v>16524034</v>
      </c>
      <c r="D229" s="22">
        <v>64547</v>
      </c>
      <c r="E229" t="str">
        <f t="shared" si="3"/>
        <v>25AUGFUT</v>
      </c>
    </row>
    <row r="230" spans="1:5">
      <c r="A230" s="22" t="s">
        <v>294</v>
      </c>
      <c r="B230" s="22" t="s">
        <v>294</v>
      </c>
      <c r="C230" s="22">
        <v>13656834</v>
      </c>
      <c r="D230" s="22">
        <v>53347</v>
      </c>
      <c r="E230" t="str">
        <f t="shared" si="3"/>
        <v>25JULFUT</v>
      </c>
    </row>
    <row r="231" spans="1:5">
      <c r="A231" s="22" t="s">
        <v>295</v>
      </c>
      <c r="B231" s="22" t="s">
        <v>295</v>
      </c>
      <c r="C231" s="22">
        <v>16524290</v>
      </c>
      <c r="D231" s="22">
        <v>64548</v>
      </c>
      <c r="E231" t="str">
        <f t="shared" si="3"/>
        <v>25AUGFUT</v>
      </c>
    </row>
    <row r="232" spans="1:5">
      <c r="A232" s="22" t="s">
        <v>296</v>
      </c>
      <c r="B232" s="22" t="s">
        <v>296</v>
      </c>
      <c r="C232" s="22">
        <v>13657090</v>
      </c>
      <c r="D232" s="22">
        <v>53348</v>
      </c>
      <c r="E232" t="str">
        <f t="shared" si="3"/>
        <v>25JULFUT</v>
      </c>
    </row>
    <row r="233" spans="1:5">
      <c r="A233" s="22" t="s">
        <v>297</v>
      </c>
      <c r="B233" s="22" t="s">
        <v>297</v>
      </c>
      <c r="C233" s="22">
        <v>16540930</v>
      </c>
      <c r="D233" s="22">
        <v>64613</v>
      </c>
      <c r="E233" t="str">
        <f t="shared" si="3"/>
        <v>25AUGFUT</v>
      </c>
    </row>
    <row r="234" spans="1:5">
      <c r="A234" s="22" t="s">
        <v>298</v>
      </c>
      <c r="B234" s="22" t="s">
        <v>298</v>
      </c>
      <c r="C234" s="22">
        <v>13657858</v>
      </c>
      <c r="D234" s="22">
        <v>53351</v>
      </c>
      <c r="E234" t="str">
        <f t="shared" si="3"/>
        <v>25JULFUT</v>
      </c>
    </row>
    <row r="235" spans="1:5">
      <c r="A235" s="22" t="s">
        <v>299</v>
      </c>
      <c r="B235" s="22" t="s">
        <v>299</v>
      </c>
      <c r="C235" s="22">
        <v>16541186</v>
      </c>
      <c r="D235" s="22">
        <v>64614</v>
      </c>
      <c r="E235" t="str">
        <f t="shared" si="3"/>
        <v>25AUGFUT</v>
      </c>
    </row>
    <row r="236" spans="1:5">
      <c r="A236" s="22" t="s">
        <v>300</v>
      </c>
      <c r="B236" s="22" t="s">
        <v>300</v>
      </c>
      <c r="C236" s="22">
        <v>13658114</v>
      </c>
      <c r="D236" s="22">
        <v>53352</v>
      </c>
      <c r="E236" t="str">
        <f t="shared" si="3"/>
        <v>25JULFUT</v>
      </c>
    </row>
    <row r="237" spans="1:5">
      <c r="A237" s="22" t="s">
        <v>301</v>
      </c>
      <c r="B237" s="22" t="s">
        <v>301</v>
      </c>
      <c r="C237" s="22">
        <v>16541442</v>
      </c>
      <c r="D237" s="22">
        <v>64615</v>
      </c>
      <c r="E237" t="str">
        <f t="shared" si="3"/>
        <v>25AUGFUT</v>
      </c>
    </row>
    <row r="238" spans="1:5">
      <c r="A238" s="22" t="s">
        <v>302</v>
      </c>
      <c r="B238" s="22" t="s">
        <v>302</v>
      </c>
      <c r="C238" s="22">
        <v>13658370</v>
      </c>
      <c r="D238" s="22">
        <v>53353</v>
      </c>
      <c r="E238" t="str">
        <f t="shared" si="3"/>
        <v>25JULFUT</v>
      </c>
    </row>
    <row r="239" spans="1:5">
      <c r="A239" s="22" t="s">
        <v>303</v>
      </c>
      <c r="B239" s="22" t="s">
        <v>303</v>
      </c>
      <c r="C239" s="22">
        <v>16541698</v>
      </c>
      <c r="D239" s="22">
        <v>64616</v>
      </c>
      <c r="E239" t="str">
        <f t="shared" si="3"/>
        <v>25AUGFUT</v>
      </c>
    </row>
    <row r="240" spans="1:5">
      <c r="A240" s="22" t="s">
        <v>304</v>
      </c>
      <c r="B240" s="22" t="s">
        <v>304</v>
      </c>
      <c r="C240" s="22">
        <v>13658626</v>
      </c>
      <c r="D240" s="22">
        <v>53354</v>
      </c>
      <c r="E240" t="str">
        <f t="shared" si="3"/>
        <v>25JULFUT</v>
      </c>
    </row>
    <row r="241" spans="1:5">
      <c r="A241" s="22" t="s">
        <v>305</v>
      </c>
      <c r="B241" s="22" t="s">
        <v>305</v>
      </c>
      <c r="C241" s="22">
        <v>16541954</v>
      </c>
      <c r="D241" s="22">
        <v>64617</v>
      </c>
      <c r="E241" t="str">
        <f t="shared" si="3"/>
        <v>25AUGFUT</v>
      </c>
    </row>
    <row r="242" spans="1:5">
      <c r="A242" s="22" t="s">
        <v>306</v>
      </c>
      <c r="B242" s="22" t="s">
        <v>306</v>
      </c>
      <c r="C242" s="22">
        <v>13658882</v>
      </c>
      <c r="D242" s="22">
        <v>53355</v>
      </c>
      <c r="E242" t="str">
        <f t="shared" si="3"/>
        <v>25JULFUT</v>
      </c>
    </row>
    <row r="243" spans="1:5">
      <c r="A243" s="22" t="s">
        <v>307</v>
      </c>
      <c r="B243" s="22" t="s">
        <v>307</v>
      </c>
      <c r="C243" s="22">
        <v>16542210</v>
      </c>
      <c r="D243" s="22">
        <v>64618</v>
      </c>
      <c r="E243" t="str">
        <f t="shared" si="3"/>
        <v>25AUGFUT</v>
      </c>
    </row>
    <row r="244" spans="1:5">
      <c r="A244" s="22" t="s">
        <v>308</v>
      </c>
      <c r="B244" s="22" t="s">
        <v>308</v>
      </c>
      <c r="C244" s="22">
        <v>13659650</v>
      </c>
      <c r="D244" s="22">
        <v>53358</v>
      </c>
      <c r="E244" t="str">
        <f t="shared" si="3"/>
        <v>25JULFUT</v>
      </c>
    </row>
    <row r="245" spans="1:5">
      <c r="A245" s="22" t="s">
        <v>309</v>
      </c>
      <c r="B245" s="22" t="s">
        <v>309</v>
      </c>
      <c r="C245" s="22">
        <v>16542466</v>
      </c>
      <c r="D245" s="22">
        <v>64619</v>
      </c>
      <c r="E245" t="str">
        <f t="shared" si="3"/>
        <v>25AUGFUT</v>
      </c>
    </row>
    <row r="246" spans="1:5">
      <c r="A246" s="22" t="s">
        <v>310</v>
      </c>
      <c r="B246" s="22" t="s">
        <v>310</v>
      </c>
      <c r="C246" s="22">
        <v>13659906</v>
      </c>
      <c r="D246" s="22">
        <v>53359</v>
      </c>
      <c r="E246" t="str">
        <f t="shared" si="3"/>
        <v>25JULFUT</v>
      </c>
    </row>
    <row r="247" spans="1:5">
      <c r="A247" s="22" t="s">
        <v>311</v>
      </c>
      <c r="B247" s="22" t="s">
        <v>311</v>
      </c>
      <c r="C247" s="22">
        <v>16542722</v>
      </c>
      <c r="D247" s="22">
        <v>64620</v>
      </c>
      <c r="E247" t="str">
        <f t="shared" si="3"/>
        <v>25AUGFUT</v>
      </c>
    </row>
    <row r="248" spans="1:5">
      <c r="A248" s="22" t="s">
        <v>312</v>
      </c>
      <c r="B248" s="22" t="s">
        <v>312</v>
      </c>
      <c r="C248" s="22">
        <v>13661698</v>
      </c>
      <c r="D248" s="22">
        <v>53366</v>
      </c>
      <c r="E248" t="str">
        <f t="shared" si="3"/>
        <v>25JULFUT</v>
      </c>
    </row>
    <row r="249" spans="1:5">
      <c r="A249" s="22" t="s">
        <v>313</v>
      </c>
      <c r="B249" s="22" t="s">
        <v>313</v>
      </c>
      <c r="C249" s="22">
        <v>16542978</v>
      </c>
      <c r="D249" s="22">
        <v>64621</v>
      </c>
      <c r="E249" t="str">
        <f t="shared" si="3"/>
        <v>25AUGFUT</v>
      </c>
    </row>
    <row r="250" spans="1:5">
      <c r="A250" s="22" t="s">
        <v>314</v>
      </c>
      <c r="B250" s="22" t="s">
        <v>314</v>
      </c>
      <c r="C250" s="22">
        <v>13661954</v>
      </c>
      <c r="D250" s="22">
        <v>53367</v>
      </c>
      <c r="E250" t="str">
        <f t="shared" si="3"/>
        <v>25JULFUT</v>
      </c>
    </row>
    <row r="251" spans="1:5">
      <c r="A251" s="22" t="s">
        <v>315</v>
      </c>
      <c r="B251" s="22" t="s">
        <v>315</v>
      </c>
      <c r="C251" s="22">
        <v>16543234</v>
      </c>
      <c r="D251" s="22">
        <v>64622</v>
      </c>
      <c r="E251" t="str">
        <f t="shared" si="3"/>
        <v>25AUGFUT</v>
      </c>
    </row>
    <row r="252" spans="1:5">
      <c r="A252" s="22" t="s">
        <v>316</v>
      </c>
      <c r="B252" s="22" t="s">
        <v>316</v>
      </c>
      <c r="C252" s="22">
        <v>16543746</v>
      </c>
      <c r="D252" s="22">
        <v>64624</v>
      </c>
      <c r="E252" t="str">
        <f t="shared" si="3"/>
        <v>25JULFUT</v>
      </c>
    </row>
    <row r="253" spans="1:5">
      <c r="A253" s="22" t="s">
        <v>317</v>
      </c>
      <c r="B253" s="22" t="s">
        <v>317</v>
      </c>
      <c r="C253" s="22">
        <v>16544002</v>
      </c>
      <c r="D253" s="22">
        <v>64625</v>
      </c>
      <c r="E253" t="str">
        <f t="shared" si="3"/>
        <v>25AUGFUT</v>
      </c>
    </row>
    <row r="254" spans="1:5">
      <c r="A254" s="22" t="s">
        <v>318</v>
      </c>
      <c r="B254" s="22" t="s">
        <v>318</v>
      </c>
      <c r="C254" s="22">
        <v>13662210</v>
      </c>
      <c r="D254" s="22">
        <v>53368</v>
      </c>
      <c r="E254" t="str">
        <f t="shared" si="3"/>
        <v>25JULFUT</v>
      </c>
    </row>
    <row r="255" spans="1:5">
      <c r="A255" s="22" t="s">
        <v>319</v>
      </c>
      <c r="B255" s="22" t="s">
        <v>319</v>
      </c>
      <c r="C255" s="22">
        <v>16544258</v>
      </c>
      <c r="D255" s="22">
        <v>64626</v>
      </c>
      <c r="E255" t="str">
        <f t="shared" si="3"/>
        <v>25AUGFUT</v>
      </c>
    </row>
    <row r="256" spans="1:5">
      <c r="A256" s="22" t="s">
        <v>320</v>
      </c>
      <c r="B256" s="22" t="s">
        <v>320</v>
      </c>
      <c r="C256" s="22">
        <v>13662466</v>
      </c>
      <c r="D256" s="22">
        <v>53369</v>
      </c>
      <c r="E256" t="str">
        <f t="shared" si="3"/>
        <v>25JULFUT</v>
      </c>
    </row>
    <row r="257" spans="1:5">
      <c r="A257" s="22" t="s">
        <v>321</v>
      </c>
      <c r="B257" s="22" t="s">
        <v>321</v>
      </c>
      <c r="C257" s="22">
        <v>16544514</v>
      </c>
      <c r="D257" s="22">
        <v>64627</v>
      </c>
      <c r="E257" t="str">
        <f t="shared" si="3"/>
        <v>25AUGFUT</v>
      </c>
    </row>
    <row r="258" spans="1:5">
      <c r="A258" s="22" t="s">
        <v>322</v>
      </c>
      <c r="B258" s="22" t="s">
        <v>322</v>
      </c>
      <c r="C258" s="22">
        <v>13662722</v>
      </c>
      <c r="D258" s="22">
        <v>53370</v>
      </c>
      <c r="E258" t="str">
        <f t="shared" si="3"/>
        <v>25JULFUT</v>
      </c>
    </row>
    <row r="259" spans="1:5">
      <c r="A259" s="22" t="s">
        <v>323</v>
      </c>
      <c r="B259" s="22" t="s">
        <v>323</v>
      </c>
      <c r="C259" s="22">
        <v>16544770</v>
      </c>
      <c r="D259" s="22">
        <v>64628</v>
      </c>
      <c r="E259" t="str">
        <f t="shared" si="3"/>
        <v>25AUGFUT</v>
      </c>
    </row>
    <row r="260" spans="1:5">
      <c r="A260" s="22" t="s">
        <v>324</v>
      </c>
      <c r="B260" s="22" t="s">
        <v>324</v>
      </c>
      <c r="C260" s="22">
        <v>13662978</v>
      </c>
      <c r="D260" s="22">
        <v>53371</v>
      </c>
      <c r="E260" t="str">
        <f t="shared" si="3"/>
        <v>25JULFUT</v>
      </c>
    </row>
    <row r="261" spans="1:5">
      <c r="A261" s="22" t="s">
        <v>325</v>
      </c>
      <c r="B261" s="22" t="s">
        <v>325</v>
      </c>
      <c r="C261" s="22">
        <v>16545026</v>
      </c>
      <c r="D261" s="22">
        <v>64629</v>
      </c>
      <c r="E261" t="str">
        <f t="shared" si="3"/>
        <v>25AUGFUT</v>
      </c>
    </row>
    <row r="262" spans="1:5">
      <c r="A262" s="22" t="s">
        <v>326</v>
      </c>
      <c r="B262" s="22" t="s">
        <v>326</v>
      </c>
      <c r="C262" s="22">
        <v>13663234</v>
      </c>
      <c r="D262" s="22">
        <v>53372</v>
      </c>
      <c r="E262" t="str">
        <f t="shared" si="3"/>
        <v>25JULFUT</v>
      </c>
    </row>
    <row r="263" spans="1:5">
      <c r="A263" s="22" t="s">
        <v>327</v>
      </c>
      <c r="B263" s="22" t="s">
        <v>327</v>
      </c>
      <c r="C263" s="22">
        <v>16545282</v>
      </c>
      <c r="D263" s="22">
        <v>64630</v>
      </c>
      <c r="E263" t="str">
        <f t="shared" si="3"/>
        <v>25AUGFUT</v>
      </c>
    </row>
    <row r="264" spans="1:5">
      <c r="A264" s="22" t="s">
        <v>328</v>
      </c>
      <c r="B264" s="22" t="s">
        <v>328</v>
      </c>
      <c r="C264" s="22">
        <v>13663490</v>
      </c>
      <c r="D264" s="22">
        <v>53373</v>
      </c>
      <c r="E264" t="str">
        <f t="shared" si="3"/>
        <v>25JULFUT</v>
      </c>
    </row>
    <row r="265" spans="1:5">
      <c r="A265" s="22" t="s">
        <v>329</v>
      </c>
      <c r="B265" s="22" t="s">
        <v>329</v>
      </c>
      <c r="C265" s="22">
        <v>16545538</v>
      </c>
      <c r="D265" s="22">
        <v>64631</v>
      </c>
      <c r="E265" t="str">
        <f t="shared" si="3"/>
        <v>25AUGFUT</v>
      </c>
    </row>
    <row r="266" spans="1:5">
      <c r="A266" s="22" t="s">
        <v>330</v>
      </c>
      <c r="B266" s="22" t="s">
        <v>330</v>
      </c>
      <c r="C266" s="22">
        <v>13663746</v>
      </c>
      <c r="D266" s="22">
        <v>53374</v>
      </c>
      <c r="E266" t="str">
        <f t="shared" si="3"/>
        <v>25JULFUT</v>
      </c>
    </row>
    <row r="267" spans="1:5">
      <c r="A267" s="22" t="s">
        <v>331</v>
      </c>
      <c r="B267" s="22" t="s">
        <v>331</v>
      </c>
      <c r="C267" s="22">
        <v>16545794</v>
      </c>
      <c r="D267" s="22">
        <v>64632</v>
      </c>
      <c r="E267" t="str">
        <f t="shared" si="3"/>
        <v>25AUGFUT</v>
      </c>
    </row>
    <row r="268" spans="1:5">
      <c r="A268" s="22" t="s">
        <v>332</v>
      </c>
      <c r="B268" s="22" t="s">
        <v>332</v>
      </c>
      <c r="C268" s="22">
        <v>13664002</v>
      </c>
      <c r="D268" s="22">
        <v>53375</v>
      </c>
      <c r="E268" t="str">
        <f t="shared" si="3"/>
        <v>25JULFUT</v>
      </c>
    </row>
    <row r="269" spans="1:5">
      <c r="A269" s="22" t="s">
        <v>333</v>
      </c>
      <c r="B269" s="22" t="s">
        <v>333</v>
      </c>
      <c r="C269" s="22">
        <v>16546050</v>
      </c>
      <c r="D269" s="22">
        <v>64633</v>
      </c>
      <c r="E269" t="str">
        <f t="shared" si="3"/>
        <v>25AUGFUT</v>
      </c>
    </row>
    <row r="270" spans="1:5">
      <c r="A270" s="22" t="s">
        <v>334</v>
      </c>
      <c r="B270" s="22" t="s">
        <v>334</v>
      </c>
      <c r="C270" s="22">
        <v>13664258</v>
      </c>
      <c r="D270" s="22">
        <v>53376</v>
      </c>
      <c r="E270" t="str">
        <f t="shared" ref="E270:E333" si="4">RIGHT(B270,8)</f>
        <v>25JULFUT</v>
      </c>
    </row>
    <row r="271" spans="1:5">
      <c r="A271" s="22" t="s">
        <v>335</v>
      </c>
      <c r="B271" s="22" t="s">
        <v>335</v>
      </c>
      <c r="C271" s="22">
        <v>16546306</v>
      </c>
      <c r="D271" s="22">
        <v>64634</v>
      </c>
      <c r="E271" t="str">
        <f t="shared" si="4"/>
        <v>25AUGFUT</v>
      </c>
    </row>
    <row r="272" spans="1:5">
      <c r="A272" s="22" t="s">
        <v>336</v>
      </c>
      <c r="B272" s="22" t="s">
        <v>336</v>
      </c>
      <c r="C272" s="22">
        <v>13664514</v>
      </c>
      <c r="D272" s="22">
        <v>53377</v>
      </c>
      <c r="E272" t="str">
        <f t="shared" si="4"/>
        <v>25JULFUT</v>
      </c>
    </row>
    <row r="273" spans="1:5">
      <c r="A273" s="22" t="s">
        <v>337</v>
      </c>
      <c r="B273" s="22" t="s">
        <v>337</v>
      </c>
      <c r="C273" s="22">
        <v>16546562</v>
      </c>
      <c r="D273" s="22">
        <v>64635</v>
      </c>
      <c r="E273" t="str">
        <f t="shared" si="4"/>
        <v>25AUGFUT</v>
      </c>
    </row>
    <row r="274" spans="1:5">
      <c r="A274" s="22" t="s">
        <v>338</v>
      </c>
      <c r="B274" s="22" t="s">
        <v>338</v>
      </c>
      <c r="C274" s="22">
        <v>13664770</v>
      </c>
      <c r="D274" s="22">
        <v>53378</v>
      </c>
      <c r="E274" t="str">
        <f t="shared" si="4"/>
        <v>25JULFUT</v>
      </c>
    </row>
    <row r="275" spans="1:5">
      <c r="A275" s="22" t="s">
        <v>339</v>
      </c>
      <c r="B275" s="22" t="s">
        <v>339</v>
      </c>
      <c r="C275" s="22">
        <v>16546818</v>
      </c>
      <c r="D275" s="22">
        <v>64636</v>
      </c>
      <c r="E275" t="str">
        <f t="shared" si="4"/>
        <v>25AUGFUT</v>
      </c>
    </row>
    <row r="276" spans="1:5">
      <c r="A276" s="22" t="s">
        <v>340</v>
      </c>
      <c r="B276" s="22" t="s">
        <v>340</v>
      </c>
      <c r="C276" s="22">
        <v>13665026</v>
      </c>
      <c r="D276" s="22">
        <v>53379</v>
      </c>
      <c r="E276" t="str">
        <f t="shared" si="4"/>
        <v>25JULFUT</v>
      </c>
    </row>
    <row r="277" spans="1:5">
      <c r="A277" s="22" t="s">
        <v>341</v>
      </c>
      <c r="B277" s="22" t="s">
        <v>341</v>
      </c>
      <c r="C277" s="22">
        <v>16547074</v>
      </c>
      <c r="D277" s="22">
        <v>64637</v>
      </c>
      <c r="E277" t="str">
        <f t="shared" si="4"/>
        <v>25AUGFUT</v>
      </c>
    </row>
    <row r="278" spans="1:5">
      <c r="A278" s="22" t="s">
        <v>342</v>
      </c>
      <c r="B278" s="22" t="s">
        <v>342</v>
      </c>
      <c r="C278" s="22">
        <v>13665282</v>
      </c>
      <c r="D278" s="22">
        <v>53380</v>
      </c>
      <c r="E278" t="str">
        <f t="shared" si="4"/>
        <v>25JULFUT</v>
      </c>
    </row>
    <row r="279" spans="1:5">
      <c r="A279" s="22" t="s">
        <v>343</v>
      </c>
      <c r="B279" s="22" t="s">
        <v>343</v>
      </c>
      <c r="C279" s="22">
        <v>13665538</v>
      </c>
      <c r="D279" s="22">
        <v>53381</v>
      </c>
      <c r="E279" t="str">
        <f t="shared" si="4"/>
        <v>25JULFUT</v>
      </c>
    </row>
    <row r="280" spans="1:5">
      <c r="A280" s="22" t="s">
        <v>344</v>
      </c>
      <c r="B280" s="22" t="s">
        <v>344</v>
      </c>
      <c r="C280" s="22">
        <v>16613634</v>
      </c>
      <c r="D280" s="22">
        <v>64897</v>
      </c>
      <c r="E280" t="str">
        <f t="shared" si="4"/>
        <v>25AUGFUT</v>
      </c>
    </row>
    <row r="281" spans="1:5">
      <c r="A281" s="22" t="s">
        <v>345</v>
      </c>
      <c r="B281" s="22" t="s">
        <v>345</v>
      </c>
      <c r="C281" s="22">
        <v>16614658</v>
      </c>
      <c r="D281" s="22">
        <v>64901</v>
      </c>
      <c r="E281" t="str">
        <f t="shared" si="4"/>
        <v>25JULFUT</v>
      </c>
    </row>
    <row r="282" spans="1:5">
      <c r="A282" s="22" t="s">
        <v>346</v>
      </c>
      <c r="B282" s="22" t="s">
        <v>346</v>
      </c>
      <c r="C282" s="22">
        <v>16614914</v>
      </c>
      <c r="D282" s="22">
        <v>64902</v>
      </c>
      <c r="E282" t="str">
        <f t="shared" si="4"/>
        <v>25AUGFUT</v>
      </c>
    </row>
    <row r="283" spans="1:5">
      <c r="A283" s="22" t="s">
        <v>347</v>
      </c>
      <c r="B283" s="22" t="s">
        <v>347</v>
      </c>
      <c r="C283" s="22">
        <v>13665794</v>
      </c>
      <c r="D283" s="22">
        <v>53382</v>
      </c>
      <c r="E283" t="str">
        <f t="shared" si="4"/>
        <v>25JULFUT</v>
      </c>
    </row>
    <row r="284" spans="1:5">
      <c r="A284" s="22" t="s">
        <v>348</v>
      </c>
      <c r="B284" s="22" t="s">
        <v>348</v>
      </c>
      <c r="C284" s="22">
        <v>16615170</v>
      </c>
      <c r="D284" s="22">
        <v>64903</v>
      </c>
      <c r="E284" t="str">
        <f t="shared" si="4"/>
        <v>25AUGFUT</v>
      </c>
    </row>
    <row r="285" spans="1:5">
      <c r="A285" s="22" t="s">
        <v>349</v>
      </c>
      <c r="B285" s="22" t="s">
        <v>349</v>
      </c>
      <c r="C285" s="22">
        <v>13666050</v>
      </c>
      <c r="D285" s="22">
        <v>53383</v>
      </c>
      <c r="E285" t="str">
        <f t="shared" si="4"/>
        <v>25JULFUT</v>
      </c>
    </row>
    <row r="286" spans="1:5">
      <c r="A286" s="22" t="s">
        <v>350</v>
      </c>
      <c r="B286" s="22" t="s">
        <v>350</v>
      </c>
      <c r="C286" s="22">
        <v>16615426</v>
      </c>
      <c r="D286" s="22">
        <v>64904</v>
      </c>
      <c r="E286" t="str">
        <f t="shared" si="4"/>
        <v>25AUGFUT</v>
      </c>
    </row>
    <row r="287" spans="1:5">
      <c r="A287" s="22" t="s">
        <v>351</v>
      </c>
      <c r="B287" s="22" t="s">
        <v>351</v>
      </c>
      <c r="C287" s="22">
        <v>13666306</v>
      </c>
      <c r="D287" s="22">
        <v>53384</v>
      </c>
      <c r="E287" t="str">
        <f t="shared" si="4"/>
        <v>25JULFUT</v>
      </c>
    </row>
    <row r="288" spans="1:5">
      <c r="A288" s="22" t="s">
        <v>352</v>
      </c>
      <c r="B288" s="22" t="s">
        <v>352</v>
      </c>
      <c r="C288" s="22">
        <v>16615682</v>
      </c>
      <c r="D288" s="22">
        <v>64905</v>
      </c>
      <c r="E288" t="str">
        <f t="shared" si="4"/>
        <v>25AUGFUT</v>
      </c>
    </row>
    <row r="289" spans="1:5">
      <c r="A289" s="22" t="s">
        <v>353</v>
      </c>
      <c r="B289" s="22" t="s">
        <v>353</v>
      </c>
      <c r="C289" s="22">
        <v>16616194</v>
      </c>
      <c r="D289" s="22">
        <v>64907</v>
      </c>
      <c r="E289" t="str">
        <f t="shared" si="4"/>
        <v>25JULFUT</v>
      </c>
    </row>
    <row r="290" spans="1:5">
      <c r="A290" s="22" t="s">
        <v>354</v>
      </c>
      <c r="B290" s="22" t="s">
        <v>354</v>
      </c>
      <c r="C290" s="22">
        <v>16616450</v>
      </c>
      <c r="D290" s="22">
        <v>64908</v>
      </c>
      <c r="E290" t="str">
        <f t="shared" si="4"/>
        <v>25AUGFUT</v>
      </c>
    </row>
    <row r="291" spans="1:5">
      <c r="A291" s="22" t="s">
        <v>355</v>
      </c>
      <c r="B291" s="22" t="s">
        <v>355</v>
      </c>
      <c r="C291" s="22">
        <v>13666562</v>
      </c>
      <c r="D291" s="22">
        <v>53385</v>
      </c>
      <c r="E291" t="str">
        <f t="shared" si="4"/>
        <v>25JULFUT</v>
      </c>
    </row>
    <row r="292" spans="1:5">
      <c r="A292" s="22" t="s">
        <v>356</v>
      </c>
      <c r="B292" s="22" t="s">
        <v>356</v>
      </c>
      <c r="C292" s="22">
        <v>16624130</v>
      </c>
      <c r="D292" s="22">
        <v>64938</v>
      </c>
      <c r="E292" t="str">
        <f t="shared" si="4"/>
        <v>25AUGFUT</v>
      </c>
    </row>
    <row r="293" spans="1:5">
      <c r="A293" s="22" t="s">
        <v>357</v>
      </c>
      <c r="B293" s="22" t="s">
        <v>357</v>
      </c>
      <c r="C293" s="22">
        <v>13666818</v>
      </c>
      <c r="D293" s="22">
        <v>53386</v>
      </c>
      <c r="E293" t="str">
        <f t="shared" si="4"/>
        <v>25JULFUT</v>
      </c>
    </row>
    <row r="294" spans="1:5">
      <c r="A294" s="22" t="s">
        <v>358</v>
      </c>
      <c r="B294" s="22" t="s">
        <v>358</v>
      </c>
      <c r="C294" s="22">
        <v>16624386</v>
      </c>
      <c r="D294" s="22">
        <v>64939</v>
      </c>
      <c r="E294" t="str">
        <f t="shared" si="4"/>
        <v>25AUGFUT</v>
      </c>
    </row>
    <row r="295" spans="1:5">
      <c r="A295" s="22" t="s">
        <v>359</v>
      </c>
      <c r="B295" s="22" t="s">
        <v>359</v>
      </c>
      <c r="C295" s="22">
        <v>13667074</v>
      </c>
      <c r="D295" s="22">
        <v>53387</v>
      </c>
      <c r="E295" t="str">
        <f t="shared" si="4"/>
        <v>25JULFUT</v>
      </c>
    </row>
    <row r="296" spans="1:5">
      <c r="A296" s="22" t="s">
        <v>360</v>
      </c>
      <c r="B296" s="22" t="s">
        <v>360</v>
      </c>
      <c r="C296" s="22">
        <v>13623042</v>
      </c>
      <c r="D296" s="22">
        <v>53215</v>
      </c>
      <c r="E296" t="str">
        <f t="shared" si="4"/>
        <v>25JULFUT</v>
      </c>
    </row>
    <row r="297" spans="1:5">
      <c r="A297" s="22" t="s">
        <v>361</v>
      </c>
      <c r="B297" s="22" t="s">
        <v>361</v>
      </c>
      <c r="C297" s="22">
        <v>16410114</v>
      </c>
      <c r="D297" s="22">
        <v>64102</v>
      </c>
      <c r="E297" t="str">
        <f t="shared" si="4"/>
        <v>25AUGFUT</v>
      </c>
    </row>
    <row r="298" spans="1:5">
      <c r="A298" s="22" t="s">
        <v>362</v>
      </c>
      <c r="B298" s="22" t="s">
        <v>362</v>
      </c>
      <c r="C298" s="22">
        <v>13667330</v>
      </c>
      <c r="D298" s="22">
        <v>53388</v>
      </c>
      <c r="E298" t="str">
        <f t="shared" si="4"/>
        <v>25JULFUT</v>
      </c>
    </row>
    <row r="299" spans="1:5">
      <c r="A299" s="22" t="s">
        <v>363</v>
      </c>
      <c r="B299" s="22" t="s">
        <v>363</v>
      </c>
      <c r="C299" s="22">
        <v>16625154</v>
      </c>
      <c r="D299" s="22">
        <v>64942</v>
      </c>
      <c r="E299" t="str">
        <f t="shared" si="4"/>
        <v>25AUGFUT</v>
      </c>
    </row>
    <row r="300" spans="1:5">
      <c r="A300" s="22" t="s">
        <v>364</v>
      </c>
      <c r="B300" s="22" t="s">
        <v>364</v>
      </c>
      <c r="C300" s="22">
        <v>13667586</v>
      </c>
      <c r="D300" s="22">
        <v>53389</v>
      </c>
      <c r="E300" t="str">
        <f t="shared" si="4"/>
        <v>25JULFUT</v>
      </c>
    </row>
    <row r="301" spans="1:5">
      <c r="A301" s="22" t="s">
        <v>365</v>
      </c>
      <c r="B301" s="22" t="s">
        <v>365</v>
      </c>
      <c r="C301" s="22">
        <v>16625410</v>
      </c>
      <c r="D301" s="22">
        <v>64943</v>
      </c>
      <c r="E301" t="str">
        <f t="shared" si="4"/>
        <v>25AUGFUT</v>
      </c>
    </row>
    <row r="302" spans="1:5">
      <c r="A302" s="22" t="s">
        <v>366</v>
      </c>
      <c r="B302" s="22" t="s">
        <v>366</v>
      </c>
      <c r="C302" s="22">
        <v>13667842</v>
      </c>
      <c r="D302" s="22">
        <v>53390</v>
      </c>
      <c r="E302" t="str">
        <f t="shared" si="4"/>
        <v>25JULFUT</v>
      </c>
    </row>
    <row r="303" spans="1:5">
      <c r="A303" s="22" t="s">
        <v>367</v>
      </c>
      <c r="B303" s="22" t="s">
        <v>367</v>
      </c>
      <c r="C303" s="22">
        <v>16625666</v>
      </c>
      <c r="D303" s="22">
        <v>64944</v>
      </c>
      <c r="E303" t="str">
        <f t="shared" si="4"/>
        <v>25AUGFUT</v>
      </c>
    </row>
    <row r="304" spans="1:5">
      <c r="A304" s="22" t="s">
        <v>368</v>
      </c>
      <c r="B304" s="22" t="s">
        <v>368</v>
      </c>
      <c r="C304" s="22">
        <v>13668098</v>
      </c>
      <c r="D304" s="22">
        <v>53391</v>
      </c>
      <c r="E304" t="str">
        <f t="shared" si="4"/>
        <v>25JULFUT</v>
      </c>
    </row>
    <row r="305" spans="1:5">
      <c r="A305" s="22" t="s">
        <v>369</v>
      </c>
      <c r="B305" s="22" t="s">
        <v>369</v>
      </c>
      <c r="C305" s="22">
        <v>16626946</v>
      </c>
      <c r="D305" s="22">
        <v>64949</v>
      </c>
      <c r="E305" t="str">
        <f t="shared" si="4"/>
        <v>25AUGFUT</v>
      </c>
    </row>
    <row r="306" spans="1:5">
      <c r="A306" s="22" t="s">
        <v>370</v>
      </c>
      <c r="B306" s="22" t="s">
        <v>370</v>
      </c>
      <c r="C306" s="22">
        <v>13668354</v>
      </c>
      <c r="D306" s="22">
        <v>53392</v>
      </c>
      <c r="E306" t="str">
        <f t="shared" si="4"/>
        <v>25JULFUT</v>
      </c>
    </row>
    <row r="307" spans="1:5">
      <c r="A307" s="22" t="s">
        <v>371</v>
      </c>
      <c r="B307" s="22" t="s">
        <v>371</v>
      </c>
      <c r="C307" s="22">
        <v>16627202</v>
      </c>
      <c r="D307" s="22">
        <v>64950</v>
      </c>
      <c r="E307" t="str">
        <f t="shared" si="4"/>
        <v>25AUGFUT</v>
      </c>
    </row>
    <row r="308" spans="1:5">
      <c r="A308" s="22" t="s">
        <v>372</v>
      </c>
      <c r="B308" s="22" t="s">
        <v>372</v>
      </c>
      <c r="C308" s="22">
        <v>13668610</v>
      </c>
      <c r="D308" s="22">
        <v>53393</v>
      </c>
      <c r="E308" t="str">
        <f t="shared" si="4"/>
        <v>25JULFUT</v>
      </c>
    </row>
    <row r="309" spans="1:5">
      <c r="A309" s="22" t="s">
        <v>373</v>
      </c>
      <c r="B309" s="22" t="s">
        <v>373</v>
      </c>
      <c r="C309" s="22">
        <v>16627458</v>
      </c>
      <c r="D309" s="22">
        <v>64951</v>
      </c>
      <c r="E309" t="str">
        <f t="shared" si="4"/>
        <v>25AUGFUT</v>
      </c>
    </row>
    <row r="310" spans="1:5">
      <c r="A310" s="22" t="s">
        <v>374</v>
      </c>
      <c r="B310" s="22" t="s">
        <v>374</v>
      </c>
      <c r="C310" s="22">
        <v>13668866</v>
      </c>
      <c r="D310" s="22">
        <v>53394</v>
      </c>
      <c r="E310" t="str">
        <f t="shared" si="4"/>
        <v>25JULFUT</v>
      </c>
    </row>
    <row r="311" spans="1:5">
      <c r="A311" s="22" t="s">
        <v>375</v>
      </c>
      <c r="B311" s="22" t="s">
        <v>375</v>
      </c>
      <c r="C311" s="22">
        <v>16627714</v>
      </c>
      <c r="D311" s="22">
        <v>64952</v>
      </c>
      <c r="E311" t="str">
        <f t="shared" si="4"/>
        <v>25AUGFUT</v>
      </c>
    </row>
    <row r="312" spans="1:5">
      <c r="A312" s="22" t="s">
        <v>376</v>
      </c>
      <c r="B312" s="22" t="s">
        <v>376</v>
      </c>
      <c r="C312" s="22">
        <v>13669122</v>
      </c>
      <c r="D312" s="22">
        <v>53395</v>
      </c>
      <c r="E312" t="str">
        <f t="shared" si="4"/>
        <v>25JULFUT</v>
      </c>
    </row>
    <row r="313" spans="1:5">
      <c r="A313" s="22" t="s">
        <v>377</v>
      </c>
      <c r="B313" s="22" t="s">
        <v>377</v>
      </c>
      <c r="C313" s="22">
        <v>16627970</v>
      </c>
      <c r="D313" s="22">
        <v>64953</v>
      </c>
      <c r="E313" t="str">
        <f t="shared" si="4"/>
        <v>25AUGFUT</v>
      </c>
    </row>
    <row r="314" spans="1:5">
      <c r="A314" s="22" t="s">
        <v>378</v>
      </c>
      <c r="B314" s="22" t="s">
        <v>378</v>
      </c>
      <c r="C314" s="22">
        <v>13669378</v>
      </c>
      <c r="D314" s="22">
        <v>53396</v>
      </c>
      <c r="E314" t="str">
        <f t="shared" si="4"/>
        <v>25JULFUT</v>
      </c>
    </row>
    <row r="315" spans="1:5">
      <c r="A315" s="22" t="s">
        <v>379</v>
      </c>
      <c r="B315" s="22" t="s">
        <v>379</v>
      </c>
      <c r="C315" s="22">
        <v>16628226</v>
      </c>
      <c r="D315" s="22">
        <v>64954</v>
      </c>
      <c r="E315" t="str">
        <f t="shared" si="4"/>
        <v>25AUGFUT</v>
      </c>
    </row>
    <row r="316" spans="1:5">
      <c r="A316" s="22" t="s">
        <v>380</v>
      </c>
      <c r="B316" s="22" t="s">
        <v>380</v>
      </c>
      <c r="C316" s="22">
        <v>13623554</v>
      </c>
      <c r="D316" s="22">
        <v>53217</v>
      </c>
      <c r="E316" t="str">
        <f t="shared" si="4"/>
        <v>25JULFUT</v>
      </c>
    </row>
    <row r="317" spans="1:5">
      <c r="A317" s="22" t="s">
        <v>381</v>
      </c>
      <c r="B317" s="22" t="s">
        <v>381</v>
      </c>
      <c r="C317" s="22">
        <v>16410626</v>
      </c>
      <c r="D317" s="22">
        <v>64104</v>
      </c>
      <c r="E317" t="str">
        <f t="shared" si="4"/>
        <v>25AUGFUT</v>
      </c>
    </row>
    <row r="318" spans="1:5">
      <c r="A318" s="22" t="s">
        <v>382</v>
      </c>
      <c r="B318" s="22" t="s">
        <v>382</v>
      </c>
      <c r="C318" s="22">
        <v>13669634</v>
      </c>
      <c r="D318" s="22">
        <v>53397</v>
      </c>
      <c r="E318" t="str">
        <f t="shared" si="4"/>
        <v>25JULFUT</v>
      </c>
    </row>
    <row r="319" spans="1:5">
      <c r="A319" s="22" t="s">
        <v>383</v>
      </c>
      <c r="B319" s="22" t="s">
        <v>383</v>
      </c>
      <c r="C319" s="22">
        <v>16629506</v>
      </c>
      <c r="D319" s="22">
        <v>64959</v>
      </c>
      <c r="E319" t="str">
        <f t="shared" si="4"/>
        <v>25AUGFUT</v>
      </c>
    </row>
    <row r="320" spans="1:5">
      <c r="A320" s="22" t="s">
        <v>384</v>
      </c>
      <c r="B320" s="22" t="s">
        <v>384</v>
      </c>
      <c r="C320" s="22">
        <v>13669890</v>
      </c>
      <c r="D320" s="22">
        <v>53398</v>
      </c>
      <c r="E320" t="str">
        <f t="shared" si="4"/>
        <v>25JULFUT</v>
      </c>
    </row>
    <row r="321" spans="1:5">
      <c r="A321" s="22" t="s">
        <v>385</v>
      </c>
      <c r="B321" s="22" t="s">
        <v>385</v>
      </c>
      <c r="C321" s="22">
        <v>16630274</v>
      </c>
      <c r="D321" s="22">
        <v>64962</v>
      </c>
      <c r="E321" t="str">
        <f t="shared" si="4"/>
        <v>25AUGFUT</v>
      </c>
    </row>
    <row r="322" spans="1:5">
      <c r="A322" s="22" t="s">
        <v>386</v>
      </c>
      <c r="B322" s="22" t="s">
        <v>386</v>
      </c>
      <c r="C322" s="22">
        <v>13670146</v>
      </c>
      <c r="D322" s="22">
        <v>53399</v>
      </c>
      <c r="E322" t="str">
        <f t="shared" si="4"/>
        <v>25JULFUT</v>
      </c>
    </row>
    <row r="323" spans="1:5">
      <c r="A323" s="22" t="s">
        <v>387</v>
      </c>
      <c r="B323" s="22" t="s">
        <v>387</v>
      </c>
      <c r="C323" s="22">
        <v>16630530</v>
      </c>
      <c r="D323" s="22">
        <v>64963</v>
      </c>
      <c r="E323" t="str">
        <f t="shared" si="4"/>
        <v>25AUGFUT</v>
      </c>
    </row>
    <row r="324" spans="1:5">
      <c r="A324" s="22" t="s">
        <v>388</v>
      </c>
      <c r="B324" s="22" t="s">
        <v>388</v>
      </c>
      <c r="C324" s="22">
        <v>13670914</v>
      </c>
      <c r="D324" s="22">
        <v>53402</v>
      </c>
      <c r="E324" t="str">
        <f t="shared" si="4"/>
        <v>25JULFUT</v>
      </c>
    </row>
    <row r="325" spans="1:5">
      <c r="A325" s="22" t="s">
        <v>389</v>
      </c>
      <c r="B325" s="22" t="s">
        <v>389</v>
      </c>
      <c r="C325" s="22">
        <v>16630786</v>
      </c>
      <c r="D325" s="22">
        <v>64964</v>
      </c>
      <c r="E325" t="str">
        <f t="shared" si="4"/>
        <v>25AUGFUT</v>
      </c>
    </row>
    <row r="326" spans="1:5">
      <c r="A326" s="22" t="s">
        <v>390</v>
      </c>
      <c r="B326" s="22" t="s">
        <v>390</v>
      </c>
      <c r="C326" s="22">
        <v>13671170</v>
      </c>
      <c r="D326" s="22">
        <v>53403</v>
      </c>
      <c r="E326" t="str">
        <f t="shared" si="4"/>
        <v>25JULFUT</v>
      </c>
    </row>
    <row r="327" spans="1:5">
      <c r="A327" s="22" t="s">
        <v>391</v>
      </c>
      <c r="B327" s="22" t="s">
        <v>391</v>
      </c>
      <c r="C327" s="22">
        <v>16631042</v>
      </c>
      <c r="D327" s="22">
        <v>64965</v>
      </c>
      <c r="E327" t="str">
        <f t="shared" si="4"/>
        <v>25AUGFUT</v>
      </c>
    </row>
    <row r="328" spans="1:5">
      <c r="A328" s="22" t="s">
        <v>392</v>
      </c>
      <c r="B328" s="22" t="s">
        <v>392</v>
      </c>
      <c r="C328" s="22">
        <v>13671426</v>
      </c>
      <c r="D328" s="22">
        <v>53404</v>
      </c>
      <c r="E328" t="str">
        <f t="shared" si="4"/>
        <v>25JULFUT</v>
      </c>
    </row>
    <row r="329" spans="1:5">
      <c r="A329" s="22" t="s">
        <v>393</v>
      </c>
      <c r="B329" s="22" t="s">
        <v>393</v>
      </c>
      <c r="C329" s="22">
        <v>16631810</v>
      </c>
      <c r="D329" s="22">
        <v>64968</v>
      </c>
      <c r="E329" t="str">
        <f t="shared" si="4"/>
        <v>25AUGFUT</v>
      </c>
    </row>
    <row r="330" spans="1:5">
      <c r="A330" s="22" t="s">
        <v>394</v>
      </c>
      <c r="B330" s="22" t="s">
        <v>394</v>
      </c>
      <c r="C330" s="22">
        <v>13671682</v>
      </c>
      <c r="D330" s="22">
        <v>53405</v>
      </c>
      <c r="E330" t="str">
        <f t="shared" si="4"/>
        <v>25JULFUT</v>
      </c>
    </row>
    <row r="331" spans="1:5">
      <c r="A331" s="22" t="s">
        <v>395</v>
      </c>
      <c r="B331" s="22" t="s">
        <v>395</v>
      </c>
      <c r="C331" s="22">
        <v>16632066</v>
      </c>
      <c r="D331" s="22">
        <v>64969</v>
      </c>
      <c r="E331" t="str">
        <f t="shared" si="4"/>
        <v>25AUGFUT</v>
      </c>
    </row>
    <row r="332" spans="1:5">
      <c r="A332" s="22" t="s">
        <v>396</v>
      </c>
      <c r="B332" s="22" t="s">
        <v>396</v>
      </c>
      <c r="C332" s="22">
        <v>13671938</v>
      </c>
      <c r="D332" s="22">
        <v>53406</v>
      </c>
      <c r="E332" t="str">
        <f t="shared" si="4"/>
        <v>25JULFUT</v>
      </c>
    </row>
    <row r="333" spans="1:5">
      <c r="A333" s="22" t="s">
        <v>397</v>
      </c>
      <c r="B333" s="22" t="s">
        <v>397</v>
      </c>
      <c r="C333" s="22">
        <v>16632322</v>
      </c>
      <c r="D333" s="22">
        <v>64970</v>
      </c>
      <c r="E333" t="str">
        <f t="shared" si="4"/>
        <v>25AUGFUT</v>
      </c>
    </row>
    <row r="334" spans="1:5">
      <c r="A334" s="22" t="s">
        <v>398</v>
      </c>
      <c r="B334" s="22" t="s">
        <v>398</v>
      </c>
      <c r="C334" s="22">
        <v>13672194</v>
      </c>
      <c r="D334" s="22">
        <v>53407</v>
      </c>
      <c r="E334" t="str">
        <f t="shared" ref="E334:E397" si="5">RIGHT(B334,8)</f>
        <v>25JULFUT</v>
      </c>
    </row>
    <row r="335" spans="1:5">
      <c r="A335" s="22" t="s">
        <v>399</v>
      </c>
      <c r="B335" s="22" t="s">
        <v>399</v>
      </c>
      <c r="C335" s="22">
        <v>16632578</v>
      </c>
      <c r="D335" s="22">
        <v>64971</v>
      </c>
      <c r="E335" t="str">
        <f t="shared" si="5"/>
        <v>25AUGFUT</v>
      </c>
    </row>
    <row r="336" spans="1:5">
      <c r="A336" s="22" t="s">
        <v>400</v>
      </c>
      <c r="B336" s="22" t="s">
        <v>400</v>
      </c>
      <c r="C336" s="22">
        <v>13672450</v>
      </c>
      <c r="D336" s="22">
        <v>53408</v>
      </c>
      <c r="E336" t="str">
        <f t="shared" si="5"/>
        <v>25JULFUT</v>
      </c>
    </row>
    <row r="337" spans="1:5">
      <c r="A337" s="22" t="s">
        <v>401</v>
      </c>
      <c r="B337" s="22" t="s">
        <v>401</v>
      </c>
      <c r="C337" s="22">
        <v>16632834</v>
      </c>
      <c r="D337" s="22">
        <v>64972</v>
      </c>
      <c r="E337" t="str">
        <f t="shared" si="5"/>
        <v>25AUGFUT</v>
      </c>
    </row>
    <row r="338" spans="1:5">
      <c r="A338" s="22" t="s">
        <v>402</v>
      </c>
      <c r="B338" s="22" t="s">
        <v>402</v>
      </c>
      <c r="C338" s="22">
        <v>13672706</v>
      </c>
      <c r="D338" s="22">
        <v>53409</v>
      </c>
      <c r="E338" t="str">
        <f t="shared" si="5"/>
        <v>25JULFUT</v>
      </c>
    </row>
    <row r="339" spans="1:5">
      <c r="A339" s="22" t="s">
        <v>403</v>
      </c>
      <c r="B339" s="22" t="s">
        <v>403</v>
      </c>
      <c r="C339" s="22">
        <v>13673730</v>
      </c>
      <c r="D339" s="22">
        <v>53413</v>
      </c>
      <c r="E339" t="str">
        <f t="shared" si="5"/>
        <v>25JULFUT</v>
      </c>
    </row>
    <row r="340" spans="1:5">
      <c r="A340" s="22" t="s">
        <v>404</v>
      </c>
      <c r="B340" s="22" t="s">
        <v>404</v>
      </c>
      <c r="C340" s="22">
        <v>16633090</v>
      </c>
      <c r="D340" s="22">
        <v>64973</v>
      </c>
      <c r="E340" t="str">
        <f t="shared" si="5"/>
        <v>25AUGFUT</v>
      </c>
    </row>
    <row r="341" spans="1:5">
      <c r="A341" s="22" t="s">
        <v>405</v>
      </c>
      <c r="B341" s="22" t="s">
        <v>405</v>
      </c>
      <c r="C341" s="22">
        <v>13673986</v>
      </c>
      <c r="D341" s="22">
        <v>53414</v>
      </c>
      <c r="E341" t="str">
        <f t="shared" si="5"/>
        <v>25JULFUT</v>
      </c>
    </row>
    <row r="342" spans="1:5">
      <c r="A342" s="22" t="s">
        <v>406</v>
      </c>
      <c r="B342" s="22" t="s">
        <v>406</v>
      </c>
      <c r="C342" s="22">
        <v>16633346</v>
      </c>
      <c r="D342" s="22">
        <v>64974</v>
      </c>
      <c r="E342" t="str">
        <f t="shared" si="5"/>
        <v>25AUGFUT</v>
      </c>
    </row>
    <row r="343" spans="1:5">
      <c r="A343" s="22" t="s">
        <v>82</v>
      </c>
      <c r="B343" s="22" t="s">
        <v>82</v>
      </c>
      <c r="C343" s="22">
        <v>13674242</v>
      </c>
      <c r="D343" s="22">
        <v>53415</v>
      </c>
      <c r="E343" t="str">
        <f t="shared" si="5"/>
        <v>25JULFUT</v>
      </c>
    </row>
    <row r="344" spans="1:5">
      <c r="A344" s="22" t="s">
        <v>83</v>
      </c>
      <c r="B344" s="22" t="s">
        <v>83</v>
      </c>
      <c r="C344" s="22">
        <v>16633602</v>
      </c>
      <c r="D344" s="22">
        <v>64975</v>
      </c>
      <c r="E344" t="str">
        <f t="shared" si="5"/>
        <v>25AUGFUT</v>
      </c>
    </row>
    <row r="345" spans="1:5">
      <c r="A345" s="22" t="s">
        <v>407</v>
      </c>
      <c r="B345" s="22" t="s">
        <v>407</v>
      </c>
      <c r="C345" s="22">
        <v>13674498</v>
      </c>
      <c r="D345" s="22">
        <v>53416</v>
      </c>
      <c r="E345" t="str">
        <f t="shared" si="5"/>
        <v>25JULFUT</v>
      </c>
    </row>
    <row r="346" spans="1:5">
      <c r="A346" s="22" t="s">
        <v>408</v>
      </c>
      <c r="B346" s="22" t="s">
        <v>408</v>
      </c>
      <c r="C346" s="22">
        <v>16633858</v>
      </c>
      <c r="D346" s="22">
        <v>64976</v>
      </c>
      <c r="E346" t="str">
        <f t="shared" si="5"/>
        <v>25AUGFUT</v>
      </c>
    </row>
    <row r="347" spans="1:5">
      <c r="A347" s="22" t="s">
        <v>409</v>
      </c>
      <c r="B347" s="22" t="s">
        <v>409</v>
      </c>
      <c r="C347" s="22">
        <v>13675010</v>
      </c>
      <c r="D347" s="22">
        <v>53418</v>
      </c>
      <c r="E347" t="str">
        <f t="shared" si="5"/>
        <v>25JULFUT</v>
      </c>
    </row>
    <row r="348" spans="1:5">
      <c r="A348" s="22" t="s">
        <v>410</v>
      </c>
      <c r="B348" s="22" t="s">
        <v>410</v>
      </c>
      <c r="C348" s="22">
        <v>16634114</v>
      </c>
      <c r="D348" s="22">
        <v>64977</v>
      </c>
      <c r="E348" t="str">
        <f t="shared" si="5"/>
        <v>25AUGFUT</v>
      </c>
    </row>
    <row r="349" spans="1:5">
      <c r="A349" s="22" t="s">
        <v>411</v>
      </c>
      <c r="B349" s="22" t="s">
        <v>411</v>
      </c>
      <c r="C349" s="22">
        <v>13675266</v>
      </c>
      <c r="D349" s="22">
        <v>53419</v>
      </c>
      <c r="E349" t="str">
        <f t="shared" si="5"/>
        <v>25JULFUT</v>
      </c>
    </row>
    <row r="350" spans="1:5">
      <c r="A350" s="22" t="s">
        <v>412</v>
      </c>
      <c r="B350" s="22" t="s">
        <v>412</v>
      </c>
      <c r="C350" s="22">
        <v>16634370</v>
      </c>
      <c r="D350" s="22">
        <v>64978</v>
      </c>
      <c r="E350" t="str">
        <f t="shared" si="5"/>
        <v>25AUGFUT</v>
      </c>
    </row>
    <row r="351" spans="1:5">
      <c r="A351" s="22" t="s">
        <v>413</v>
      </c>
      <c r="B351" s="22" t="s">
        <v>413</v>
      </c>
      <c r="C351" s="22">
        <v>13675522</v>
      </c>
      <c r="D351" s="22">
        <v>53420</v>
      </c>
      <c r="E351" t="str">
        <f t="shared" si="5"/>
        <v>25JULFUT</v>
      </c>
    </row>
    <row r="352" spans="1:5">
      <c r="A352" s="22" t="s">
        <v>414</v>
      </c>
      <c r="B352" s="22" t="s">
        <v>414</v>
      </c>
      <c r="C352" s="22">
        <v>16634626</v>
      </c>
      <c r="D352" s="22">
        <v>64979</v>
      </c>
      <c r="E352" t="str">
        <f t="shared" si="5"/>
        <v>25AUGFUT</v>
      </c>
    </row>
    <row r="353" spans="1:5">
      <c r="A353" s="22" t="s">
        <v>415</v>
      </c>
      <c r="B353" s="22" t="s">
        <v>415</v>
      </c>
      <c r="C353" s="22">
        <v>13675778</v>
      </c>
      <c r="D353" s="22">
        <v>53421</v>
      </c>
      <c r="E353" t="str">
        <f t="shared" si="5"/>
        <v>25JULFUT</v>
      </c>
    </row>
    <row r="354" spans="1:5">
      <c r="A354" s="22" t="s">
        <v>416</v>
      </c>
      <c r="B354" s="22" t="s">
        <v>416</v>
      </c>
      <c r="C354" s="22">
        <v>16635138</v>
      </c>
      <c r="D354" s="22">
        <v>64981</v>
      </c>
      <c r="E354" t="str">
        <f t="shared" si="5"/>
        <v>25AUGFUT</v>
      </c>
    </row>
    <row r="355" spans="1:5">
      <c r="A355" s="22" t="s">
        <v>417</v>
      </c>
      <c r="B355" s="22" t="s">
        <v>417</v>
      </c>
      <c r="C355" s="22">
        <v>13676034</v>
      </c>
      <c r="D355" s="22">
        <v>53422</v>
      </c>
      <c r="E355" t="str">
        <f t="shared" si="5"/>
        <v>25JULFUT</v>
      </c>
    </row>
    <row r="356" spans="1:5">
      <c r="A356" s="22" t="s">
        <v>418</v>
      </c>
      <c r="B356" s="22" t="s">
        <v>418</v>
      </c>
      <c r="C356" s="22">
        <v>16635394</v>
      </c>
      <c r="D356" s="22">
        <v>64982</v>
      </c>
      <c r="E356" t="str">
        <f t="shared" si="5"/>
        <v>25AUGFUT</v>
      </c>
    </row>
    <row r="357" spans="1:5">
      <c r="A357" s="22" t="s">
        <v>419</v>
      </c>
      <c r="B357" s="22" t="s">
        <v>419</v>
      </c>
      <c r="C357" s="22">
        <v>13676290</v>
      </c>
      <c r="D357" s="22">
        <v>53423</v>
      </c>
      <c r="E357" t="str">
        <f t="shared" si="5"/>
        <v>25JULFUT</v>
      </c>
    </row>
    <row r="358" spans="1:5">
      <c r="A358" s="22" t="s">
        <v>420</v>
      </c>
      <c r="B358" s="22" t="s">
        <v>420</v>
      </c>
      <c r="C358" s="22">
        <v>16635906</v>
      </c>
      <c r="D358" s="22">
        <v>64984</v>
      </c>
      <c r="E358" t="str">
        <f t="shared" si="5"/>
        <v>25AUGFUT</v>
      </c>
    </row>
    <row r="359" spans="1:5">
      <c r="A359" s="22" t="s">
        <v>421</v>
      </c>
      <c r="B359" s="22" t="s">
        <v>421</v>
      </c>
      <c r="C359" s="22">
        <v>13676546</v>
      </c>
      <c r="D359" s="22">
        <v>53424</v>
      </c>
      <c r="E359" t="str">
        <f t="shared" si="5"/>
        <v>25JULFUT</v>
      </c>
    </row>
    <row r="360" spans="1:5">
      <c r="A360" s="22" t="s">
        <v>422</v>
      </c>
      <c r="B360" s="22" t="s">
        <v>422</v>
      </c>
      <c r="C360" s="22">
        <v>16636162</v>
      </c>
      <c r="D360" s="22">
        <v>64985</v>
      </c>
      <c r="E360" t="str">
        <f t="shared" si="5"/>
        <v>25AUGFUT</v>
      </c>
    </row>
    <row r="361" spans="1:5">
      <c r="A361" s="22" t="s">
        <v>423</v>
      </c>
      <c r="B361" s="22" t="s">
        <v>423</v>
      </c>
      <c r="C361" s="22">
        <v>13676802</v>
      </c>
      <c r="D361" s="22">
        <v>53425</v>
      </c>
      <c r="E361" t="str">
        <f t="shared" si="5"/>
        <v>25JULFUT</v>
      </c>
    </row>
    <row r="362" spans="1:5">
      <c r="A362" s="22" t="s">
        <v>424</v>
      </c>
      <c r="B362" s="22" t="s">
        <v>424</v>
      </c>
      <c r="C362" s="22">
        <v>16636418</v>
      </c>
      <c r="D362" s="22">
        <v>64986</v>
      </c>
      <c r="E362" t="str">
        <f t="shared" si="5"/>
        <v>25AUGFUT</v>
      </c>
    </row>
    <row r="363" spans="1:5">
      <c r="A363" s="22" t="s">
        <v>425</v>
      </c>
      <c r="B363" s="22" t="s">
        <v>425</v>
      </c>
      <c r="C363" s="22">
        <v>16636930</v>
      </c>
      <c r="D363" s="22">
        <v>64988</v>
      </c>
      <c r="E363" t="str">
        <f t="shared" si="5"/>
        <v>25JULFUT</v>
      </c>
    </row>
    <row r="364" spans="1:5">
      <c r="A364" s="22" t="s">
        <v>426</v>
      </c>
      <c r="B364" s="22" t="s">
        <v>426</v>
      </c>
      <c r="C364" s="22">
        <v>16637186</v>
      </c>
      <c r="D364" s="22">
        <v>64989</v>
      </c>
      <c r="E364" t="str">
        <f t="shared" si="5"/>
        <v>25AUGFUT</v>
      </c>
    </row>
    <row r="365" spans="1:5">
      <c r="A365" s="22" t="s">
        <v>427</v>
      </c>
      <c r="B365" s="22" t="s">
        <v>427</v>
      </c>
      <c r="C365" s="22">
        <v>13677058</v>
      </c>
      <c r="D365" s="22">
        <v>53426</v>
      </c>
      <c r="E365" t="str">
        <f t="shared" si="5"/>
        <v>25JULFUT</v>
      </c>
    </row>
    <row r="366" spans="1:5">
      <c r="A366" s="22" t="s">
        <v>428</v>
      </c>
      <c r="B366" s="22" t="s">
        <v>428</v>
      </c>
      <c r="C366" s="22">
        <v>16637442</v>
      </c>
      <c r="D366" s="22">
        <v>64990</v>
      </c>
      <c r="E366" t="str">
        <f t="shared" si="5"/>
        <v>25AUGFUT</v>
      </c>
    </row>
    <row r="367" spans="1:5">
      <c r="A367" s="22" t="s">
        <v>429</v>
      </c>
      <c r="B367" s="22" t="s">
        <v>429</v>
      </c>
      <c r="C367" s="22">
        <v>13677314</v>
      </c>
      <c r="D367" s="22">
        <v>53427</v>
      </c>
      <c r="E367" t="str">
        <f t="shared" si="5"/>
        <v>25JULFUT</v>
      </c>
    </row>
    <row r="368" spans="1:5">
      <c r="A368" s="22" t="s">
        <v>430</v>
      </c>
      <c r="B368" s="22" t="s">
        <v>430</v>
      </c>
      <c r="C368" s="22">
        <v>16637698</v>
      </c>
      <c r="D368" s="22">
        <v>64991</v>
      </c>
      <c r="E368" t="str">
        <f t="shared" si="5"/>
        <v>25AUGFUT</v>
      </c>
    </row>
    <row r="369" spans="1:5">
      <c r="A369" s="22" t="s">
        <v>431</v>
      </c>
      <c r="B369" s="22" t="s">
        <v>431</v>
      </c>
      <c r="C369" s="22">
        <v>13677570</v>
      </c>
      <c r="D369" s="22">
        <v>53428</v>
      </c>
      <c r="E369" t="str">
        <f t="shared" si="5"/>
        <v>25JULFUT</v>
      </c>
    </row>
    <row r="370" spans="1:5">
      <c r="A370" s="22" t="s">
        <v>432</v>
      </c>
      <c r="B370" s="22" t="s">
        <v>432</v>
      </c>
      <c r="C370" s="22">
        <v>16638466</v>
      </c>
      <c r="D370" s="22">
        <v>64994</v>
      </c>
      <c r="E370" t="str">
        <f t="shared" si="5"/>
        <v>25AUGFUT</v>
      </c>
    </row>
    <row r="371" spans="1:5">
      <c r="A371" s="22" t="s">
        <v>433</v>
      </c>
      <c r="B371" s="22" t="s">
        <v>433</v>
      </c>
      <c r="C371" s="22">
        <v>13677826</v>
      </c>
      <c r="D371" s="22">
        <v>53429</v>
      </c>
      <c r="E371" t="str">
        <f t="shared" si="5"/>
        <v>25JULFUT</v>
      </c>
    </row>
    <row r="372" spans="1:5">
      <c r="A372" s="22" t="s">
        <v>434</v>
      </c>
      <c r="B372" s="22" t="s">
        <v>434</v>
      </c>
      <c r="C372" s="22">
        <v>16638722</v>
      </c>
      <c r="D372" s="22">
        <v>64995</v>
      </c>
      <c r="E372" t="str">
        <f t="shared" si="5"/>
        <v>25AUGFUT</v>
      </c>
    </row>
    <row r="373" spans="1:5">
      <c r="A373" s="22" t="s">
        <v>435</v>
      </c>
      <c r="B373" s="22" t="s">
        <v>435</v>
      </c>
      <c r="C373" s="22">
        <v>16639234</v>
      </c>
      <c r="D373" s="22">
        <v>64997</v>
      </c>
      <c r="E373" t="str">
        <f t="shared" si="5"/>
        <v>25JULFUT</v>
      </c>
    </row>
    <row r="374" spans="1:5">
      <c r="A374" s="22" t="s">
        <v>436</v>
      </c>
      <c r="B374" s="22" t="s">
        <v>436</v>
      </c>
      <c r="C374" s="22">
        <v>16639490</v>
      </c>
      <c r="D374" s="22">
        <v>64998</v>
      </c>
      <c r="E374" t="str">
        <f t="shared" si="5"/>
        <v>25AUGFUT</v>
      </c>
    </row>
    <row r="375" spans="1:5">
      <c r="A375" s="22" t="s">
        <v>437</v>
      </c>
      <c r="B375" s="22" t="s">
        <v>437</v>
      </c>
      <c r="C375" s="22">
        <v>13678082</v>
      </c>
      <c r="D375" s="22">
        <v>53430</v>
      </c>
      <c r="E375" t="str">
        <f t="shared" si="5"/>
        <v>25JULFUT</v>
      </c>
    </row>
    <row r="376" spans="1:5">
      <c r="A376" s="22" t="s">
        <v>438</v>
      </c>
      <c r="B376" s="22" t="s">
        <v>438</v>
      </c>
      <c r="C376" s="22">
        <v>16639746</v>
      </c>
      <c r="D376" s="22">
        <v>64999</v>
      </c>
      <c r="E376" t="str">
        <f t="shared" si="5"/>
        <v>25AUGFUT</v>
      </c>
    </row>
    <row r="377" spans="1:5">
      <c r="A377" s="22" t="s">
        <v>439</v>
      </c>
      <c r="B377" s="22" t="s">
        <v>439</v>
      </c>
      <c r="C377" s="22">
        <v>13678338</v>
      </c>
      <c r="D377" s="22">
        <v>53431</v>
      </c>
      <c r="E377" t="str">
        <f t="shared" si="5"/>
        <v>25JULFUT</v>
      </c>
    </row>
    <row r="378" spans="1:5">
      <c r="A378" s="22" t="s">
        <v>440</v>
      </c>
      <c r="B378" s="22" t="s">
        <v>440</v>
      </c>
      <c r="C378" s="22">
        <v>16648706</v>
      </c>
      <c r="D378" s="22">
        <v>65034</v>
      </c>
      <c r="E378" t="str">
        <f t="shared" si="5"/>
        <v>25AUGFUT</v>
      </c>
    </row>
    <row r="379" spans="1:5">
      <c r="A379" s="22" t="s">
        <v>441</v>
      </c>
      <c r="B379" s="22" t="s">
        <v>441</v>
      </c>
      <c r="C379" s="22">
        <v>13678594</v>
      </c>
      <c r="D379" s="22">
        <v>53432</v>
      </c>
      <c r="E379" t="str">
        <f t="shared" si="5"/>
        <v>25JULFUT</v>
      </c>
    </row>
    <row r="380" spans="1:5">
      <c r="A380" s="22" t="s">
        <v>442</v>
      </c>
      <c r="B380" s="22" t="s">
        <v>442</v>
      </c>
      <c r="C380" s="22">
        <v>16648962</v>
      </c>
      <c r="D380" s="22">
        <v>65035</v>
      </c>
      <c r="E380" t="str">
        <f t="shared" si="5"/>
        <v>25AUGFUT</v>
      </c>
    </row>
    <row r="381" spans="1:5">
      <c r="A381" s="22" t="s">
        <v>443</v>
      </c>
      <c r="B381" s="22" t="s">
        <v>443</v>
      </c>
      <c r="C381" s="22">
        <v>13678850</v>
      </c>
      <c r="D381" s="22">
        <v>53433</v>
      </c>
      <c r="E381" t="str">
        <f t="shared" si="5"/>
        <v>25JULFUT</v>
      </c>
    </row>
    <row r="382" spans="1:5">
      <c r="A382" s="22" t="s">
        <v>444</v>
      </c>
      <c r="B382" s="22" t="s">
        <v>444</v>
      </c>
      <c r="C382" s="22">
        <v>16649218</v>
      </c>
      <c r="D382" s="22">
        <v>65036</v>
      </c>
      <c r="E382" t="str">
        <f t="shared" si="5"/>
        <v>25AUGFUT</v>
      </c>
    </row>
    <row r="383" spans="1:5">
      <c r="A383" s="22" t="s">
        <v>445</v>
      </c>
      <c r="B383" s="22" t="s">
        <v>445</v>
      </c>
      <c r="C383" s="22">
        <v>13679106</v>
      </c>
      <c r="D383" s="22">
        <v>53434</v>
      </c>
      <c r="E383" t="str">
        <f t="shared" si="5"/>
        <v>25JULFUT</v>
      </c>
    </row>
    <row r="384" spans="1:5">
      <c r="A384" s="22" t="s">
        <v>446</v>
      </c>
      <c r="B384" s="22" t="s">
        <v>446</v>
      </c>
      <c r="C384" s="22">
        <v>16649474</v>
      </c>
      <c r="D384" s="22">
        <v>65037</v>
      </c>
      <c r="E384" t="str">
        <f t="shared" si="5"/>
        <v>25AUGFUT</v>
      </c>
    </row>
    <row r="385" spans="1:5">
      <c r="A385" s="22" t="s">
        <v>447</v>
      </c>
      <c r="B385" s="22" t="s">
        <v>447</v>
      </c>
      <c r="C385" s="22">
        <v>13679362</v>
      </c>
      <c r="D385" s="22">
        <v>53435</v>
      </c>
      <c r="E385" t="str">
        <f t="shared" si="5"/>
        <v>25JULFUT</v>
      </c>
    </row>
    <row r="386" spans="1:5">
      <c r="A386" s="22" t="s">
        <v>448</v>
      </c>
      <c r="B386" s="22" t="s">
        <v>448</v>
      </c>
      <c r="C386" s="22">
        <v>16671746</v>
      </c>
      <c r="D386" s="22">
        <v>65124</v>
      </c>
      <c r="E386" t="str">
        <f t="shared" si="5"/>
        <v>25AUGFUT</v>
      </c>
    </row>
    <row r="387" spans="1:5">
      <c r="A387" s="22" t="s">
        <v>449</v>
      </c>
      <c r="B387" s="22" t="s">
        <v>449</v>
      </c>
      <c r="C387" s="22">
        <v>13679618</v>
      </c>
      <c r="D387" s="22">
        <v>53436</v>
      </c>
      <c r="E387" t="str">
        <f t="shared" si="5"/>
        <v>25JULFUT</v>
      </c>
    </row>
    <row r="388" spans="1:5">
      <c r="A388" s="22" t="s">
        <v>450</v>
      </c>
      <c r="B388" s="22" t="s">
        <v>450</v>
      </c>
      <c r="C388" s="22">
        <v>16672002</v>
      </c>
      <c r="D388" s="22">
        <v>65125</v>
      </c>
      <c r="E388" t="str">
        <f t="shared" si="5"/>
        <v>25AUGFUT</v>
      </c>
    </row>
    <row r="389" spans="1:5">
      <c r="A389" s="22" t="s">
        <v>451</v>
      </c>
      <c r="B389" s="22" t="s">
        <v>451</v>
      </c>
      <c r="C389" s="22">
        <v>13679874</v>
      </c>
      <c r="D389" s="22">
        <v>53437</v>
      </c>
      <c r="E389" t="str">
        <f t="shared" si="5"/>
        <v>25JULFUT</v>
      </c>
    </row>
    <row r="390" spans="1:5">
      <c r="A390" s="22" t="s">
        <v>452</v>
      </c>
      <c r="B390" s="22" t="s">
        <v>452</v>
      </c>
      <c r="C390" s="22">
        <v>16685058</v>
      </c>
      <c r="D390" s="22">
        <v>65176</v>
      </c>
      <c r="E390" t="str">
        <f t="shared" si="5"/>
        <v>25AUGFUT</v>
      </c>
    </row>
    <row r="391" spans="1:5">
      <c r="A391" s="22" t="s">
        <v>453</v>
      </c>
      <c r="B391" s="22" t="s">
        <v>453</v>
      </c>
      <c r="C391" s="22">
        <v>13680130</v>
      </c>
      <c r="D391" s="22">
        <v>53438</v>
      </c>
      <c r="E391" t="str">
        <f t="shared" si="5"/>
        <v>25JULFUT</v>
      </c>
    </row>
    <row r="392" spans="1:5">
      <c r="A392" s="22" t="s">
        <v>454</v>
      </c>
      <c r="B392" s="22" t="s">
        <v>454</v>
      </c>
      <c r="C392" s="22">
        <v>16685314</v>
      </c>
      <c r="D392" s="22">
        <v>65177</v>
      </c>
      <c r="E392" t="str">
        <f t="shared" si="5"/>
        <v>25AUGFUT</v>
      </c>
    </row>
    <row r="393" spans="1:5">
      <c r="A393" s="22" t="s">
        <v>455</v>
      </c>
      <c r="B393" s="22" t="s">
        <v>455</v>
      </c>
      <c r="C393" s="22">
        <v>13680386</v>
      </c>
      <c r="D393" s="22">
        <v>53439</v>
      </c>
      <c r="E393" t="str">
        <f t="shared" si="5"/>
        <v>25JULFUT</v>
      </c>
    </row>
    <row r="394" spans="1:5">
      <c r="A394" s="22" t="s">
        <v>456</v>
      </c>
      <c r="B394" s="22" t="s">
        <v>456</v>
      </c>
      <c r="C394" s="22">
        <v>16690178</v>
      </c>
      <c r="D394" s="22">
        <v>65196</v>
      </c>
      <c r="E394" t="str">
        <f t="shared" si="5"/>
        <v>25AUGFUT</v>
      </c>
    </row>
    <row r="395" spans="1:5">
      <c r="A395" s="22" t="s">
        <v>457</v>
      </c>
      <c r="B395" s="22" t="s">
        <v>457</v>
      </c>
      <c r="C395" s="22">
        <v>13680642</v>
      </c>
      <c r="D395" s="22">
        <v>53440</v>
      </c>
      <c r="E395" t="str">
        <f t="shared" si="5"/>
        <v>25JULFUT</v>
      </c>
    </row>
    <row r="396" spans="1:5">
      <c r="A396" s="22" t="s">
        <v>458</v>
      </c>
      <c r="B396" s="22" t="s">
        <v>458</v>
      </c>
      <c r="C396" s="22">
        <v>16690434</v>
      </c>
      <c r="D396" s="22">
        <v>65197</v>
      </c>
      <c r="E396" t="str">
        <f t="shared" si="5"/>
        <v>25AUGFUT</v>
      </c>
    </row>
    <row r="397" spans="1:5">
      <c r="A397" s="22" t="s">
        <v>459</v>
      </c>
      <c r="B397" s="22" t="s">
        <v>459</v>
      </c>
      <c r="C397" s="22">
        <v>13680898</v>
      </c>
      <c r="D397" s="22">
        <v>53441</v>
      </c>
      <c r="E397" t="str">
        <f t="shared" si="5"/>
        <v>25JULFUT</v>
      </c>
    </row>
    <row r="398" spans="1:5">
      <c r="A398" s="22" t="s">
        <v>460</v>
      </c>
      <c r="B398" s="22" t="s">
        <v>460</v>
      </c>
      <c r="C398" s="22">
        <v>16690690</v>
      </c>
      <c r="D398" s="22">
        <v>65198</v>
      </c>
      <c r="E398" t="str">
        <f t="shared" ref="E398:E461" si="6">RIGHT(B398,8)</f>
        <v>25AUGFUT</v>
      </c>
    </row>
    <row r="399" spans="1:5">
      <c r="A399" s="22" t="s">
        <v>461</v>
      </c>
      <c r="B399" s="22" t="s">
        <v>461</v>
      </c>
      <c r="C399" s="22">
        <v>13681154</v>
      </c>
      <c r="D399" s="22">
        <v>53442</v>
      </c>
      <c r="E399" t="str">
        <f t="shared" si="6"/>
        <v>25JULFUT</v>
      </c>
    </row>
    <row r="400" spans="1:5">
      <c r="A400" s="22" t="s">
        <v>462</v>
      </c>
      <c r="B400" s="22" t="s">
        <v>462</v>
      </c>
      <c r="C400" s="22">
        <v>16691970</v>
      </c>
      <c r="D400" s="22">
        <v>65203</v>
      </c>
      <c r="E400" t="str">
        <f t="shared" si="6"/>
        <v>25AUGFUT</v>
      </c>
    </row>
    <row r="401" spans="1:5">
      <c r="A401" s="22" t="s">
        <v>463</v>
      </c>
      <c r="B401" s="22" t="s">
        <v>463</v>
      </c>
      <c r="C401" s="22">
        <v>13681410</v>
      </c>
      <c r="D401" s="22">
        <v>53443</v>
      </c>
      <c r="E401" t="str">
        <f t="shared" si="6"/>
        <v>25JULFUT</v>
      </c>
    </row>
    <row r="402" spans="1:5">
      <c r="A402" s="22" t="s">
        <v>464</v>
      </c>
      <c r="B402" s="22" t="s">
        <v>464</v>
      </c>
      <c r="C402" s="22">
        <v>16692738</v>
      </c>
      <c r="D402" s="22">
        <v>65206</v>
      </c>
      <c r="E402" t="str">
        <f t="shared" si="6"/>
        <v>25AUGFUT</v>
      </c>
    </row>
    <row r="403" spans="1:5">
      <c r="A403" s="22" t="s">
        <v>465</v>
      </c>
      <c r="B403" s="22" t="s">
        <v>465</v>
      </c>
      <c r="C403" s="22">
        <v>13682690</v>
      </c>
      <c r="D403" s="22">
        <v>53448</v>
      </c>
      <c r="E403" t="str">
        <f t="shared" si="6"/>
        <v>25JULFUT</v>
      </c>
    </row>
    <row r="404" spans="1:5">
      <c r="A404" s="22" t="s">
        <v>466</v>
      </c>
      <c r="B404" s="22" t="s">
        <v>466</v>
      </c>
      <c r="C404" s="22">
        <v>16692994</v>
      </c>
      <c r="D404" s="22">
        <v>65207</v>
      </c>
      <c r="E404" t="str">
        <f t="shared" si="6"/>
        <v>25AUGFUT</v>
      </c>
    </row>
    <row r="405" spans="1:5">
      <c r="A405" s="22" t="s">
        <v>467</v>
      </c>
      <c r="B405" s="22" t="s">
        <v>467</v>
      </c>
      <c r="C405" s="22">
        <v>13682946</v>
      </c>
      <c r="D405" s="22">
        <v>53449</v>
      </c>
      <c r="E405" t="str">
        <f t="shared" si="6"/>
        <v>25JULFUT</v>
      </c>
    </row>
    <row r="406" spans="1:5">
      <c r="A406" s="22" t="s">
        <v>468</v>
      </c>
      <c r="B406" s="22" t="s">
        <v>468</v>
      </c>
      <c r="C406" s="22">
        <v>13683202</v>
      </c>
      <c r="D406" s="22">
        <v>53450</v>
      </c>
      <c r="E406" t="str">
        <f t="shared" si="6"/>
        <v>25JULFUT</v>
      </c>
    </row>
    <row r="407" spans="1:5">
      <c r="A407" s="22" t="s">
        <v>469</v>
      </c>
      <c r="B407" s="22" t="s">
        <v>469</v>
      </c>
      <c r="C407" s="22">
        <v>16693250</v>
      </c>
      <c r="D407" s="22">
        <v>65208</v>
      </c>
      <c r="E407" t="str">
        <f t="shared" si="6"/>
        <v>25AUGFUT</v>
      </c>
    </row>
    <row r="408" spans="1:5">
      <c r="A408" s="22" t="s">
        <v>470</v>
      </c>
      <c r="B408" s="22" t="s">
        <v>470</v>
      </c>
      <c r="C408" s="22">
        <v>13683458</v>
      </c>
      <c r="D408" s="22">
        <v>53451</v>
      </c>
      <c r="E408" t="str">
        <f t="shared" si="6"/>
        <v>25JULFUT</v>
      </c>
    </row>
    <row r="409" spans="1:5">
      <c r="A409" s="22" t="s">
        <v>471</v>
      </c>
      <c r="B409" s="22" t="s">
        <v>471</v>
      </c>
      <c r="C409" s="22">
        <v>16694274</v>
      </c>
      <c r="D409" s="22">
        <v>65212</v>
      </c>
      <c r="E409" t="str">
        <f t="shared" si="6"/>
        <v>25AUGFUT</v>
      </c>
    </row>
    <row r="410" spans="1:5">
      <c r="A410" s="22" t="s">
        <v>472</v>
      </c>
      <c r="B410" s="22" t="s">
        <v>472</v>
      </c>
      <c r="C410" s="22">
        <v>13683714</v>
      </c>
      <c r="D410" s="22">
        <v>53452</v>
      </c>
      <c r="E410" t="str">
        <f t="shared" si="6"/>
        <v>25JULFUT</v>
      </c>
    </row>
    <row r="411" spans="1:5">
      <c r="A411" s="22" t="s">
        <v>473</v>
      </c>
      <c r="B411" s="22" t="s">
        <v>473</v>
      </c>
      <c r="C411" s="22">
        <v>16694530</v>
      </c>
      <c r="D411" s="22">
        <v>65213</v>
      </c>
      <c r="E411" t="str">
        <f t="shared" si="6"/>
        <v>25AUGFUT</v>
      </c>
    </row>
    <row r="412" spans="1:5">
      <c r="A412" s="22" t="s">
        <v>474</v>
      </c>
      <c r="B412" s="22" t="s">
        <v>474</v>
      </c>
      <c r="C412" s="22">
        <v>13683970</v>
      </c>
      <c r="D412" s="22">
        <v>53453</v>
      </c>
      <c r="E412" t="str">
        <f t="shared" si="6"/>
        <v>25JULFUT</v>
      </c>
    </row>
    <row r="413" spans="1:5">
      <c r="A413" s="22" t="s">
        <v>475</v>
      </c>
      <c r="B413" s="22" t="s">
        <v>475</v>
      </c>
      <c r="C413" s="22">
        <v>16695554</v>
      </c>
      <c r="D413" s="22">
        <v>65217</v>
      </c>
      <c r="E413" t="str">
        <f t="shared" si="6"/>
        <v>25AUGFUT</v>
      </c>
    </row>
    <row r="414" spans="1:5">
      <c r="A414" s="22" t="s">
        <v>476</v>
      </c>
      <c r="B414" s="22" t="s">
        <v>476</v>
      </c>
      <c r="C414" s="22">
        <v>13684226</v>
      </c>
      <c r="D414" s="22">
        <v>53454</v>
      </c>
      <c r="E414" t="str">
        <f t="shared" si="6"/>
        <v>25JULFUT</v>
      </c>
    </row>
    <row r="415" spans="1:5">
      <c r="A415" s="22" t="s">
        <v>477</v>
      </c>
      <c r="B415" s="22" t="s">
        <v>477</v>
      </c>
      <c r="C415" s="22">
        <v>16695810</v>
      </c>
      <c r="D415" s="22">
        <v>65218</v>
      </c>
      <c r="E415" t="str">
        <f t="shared" si="6"/>
        <v>25AUGFUT</v>
      </c>
    </row>
    <row r="416" spans="1:5">
      <c r="A416" s="22" t="s">
        <v>478</v>
      </c>
      <c r="B416" s="22" t="s">
        <v>478</v>
      </c>
      <c r="C416" s="22">
        <v>13684482</v>
      </c>
      <c r="D416" s="22">
        <v>53455</v>
      </c>
      <c r="E416" t="str">
        <f t="shared" si="6"/>
        <v>25JULFUT</v>
      </c>
    </row>
    <row r="417" spans="1:5">
      <c r="A417" s="22" t="s">
        <v>479</v>
      </c>
      <c r="B417" s="22" t="s">
        <v>479</v>
      </c>
      <c r="C417" s="22">
        <v>16696578</v>
      </c>
      <c r="D417" s="22">
        <v>65221</v>
      </c>
      <c r="E417" t="str">
        <f t="shared" si="6"/>
        <v>25AUGFUT</v>
      </c>
    </row>
    <row r="418" spans="1:5">
      <c r="A418" s="22" t="s">
        <v>480</v>
      </c>
      <c r="B418" s="22" t="s">
        <v>480</v>
      </c>
      <c r="C418" s="22">
        <v>13685762</v>
      </c>
      <c r="D418" s="22">
        <v>53460</v>
      </c>
      <c r="E418" t="str">
        <f t="shared" si="6"/>
        <v>25JULFUT</v>
      </c>
    </row>
    <row r="419" spans="1:5">
      <c r="A419" s="22" t="s">
        <v>481</v>
      </c>
      <c r="B419" s="22" t="s">
        <v>481</v>
      </c>
      <c r="C419" s="22">
        <v>16696834</v>
      </c>
      <c r="D419" s="22">
        <v>65222</v>
      </c>
      <c r="E419" t="str">
        <f t="shared" si="6"/>
        <v>25AUGFUT</v>
      </c>
    </row>
    <row r="420" spans="1:5">
      <c r="A420" s="22" t="s">
        <v>482</v>
      </c>
      <c r="B420" s="22" t="s">
        <v>482</v>
      </c>
      <c r="C420" s="22">
        <v>13686018</v>
      </c>
      <c r="D420" s="22">
        <v>53461</v>
      </c>
      <c r="E420" t="str">
        <f t="shared" si="6"/>
        <v>25JULFUT</v>
      </c>
    </row>
    <row r="421" spans="1:5">
      <c r="A421" s="22" t="s">
        <v>483</v>
      </c>
      <c r="B421" s="22" t="s">
        <v>483</v>
      </c>
      <c r="C421" s="22">
        <v>16697090</v>
      </c>
      <c r="D421" s="22">
        <v>65223</v>
      </c>
      <c r="E421" t="str">
        <f t="shared" si="6"/>
        <v>25AUGFUT</v>
      </c>
    </row>
    <row r="422" spans="1:5">
      <c r="A422" s="22" t="s">
        <v>484</v>
      </c>
      <c r="B422" s="22" t="s">
        <v>484</v>
      </c>
      <c r="C422" s="22">
        <v>13686786</v>
      </c>
      <c r="D422" s="22">
        <v>53464</v>
      </c>
      <c r="E422" t="str">
        <f t="shared" si="6"/>
        <v>25JULFUT</v>
      </c>
    </row>
    <row r="423" spans="1:5">
      <c r="A423" s="22" t="s">
        <v>485</v>
      </c>
      <c r="B423" s="22" t="s">
        <v>485</v>
      </c>
      <c r="C423" s="22">
        <v>16697346</v>
      </c>
      <c r="D423" s="22">
        <v>65224</v>
      </c>
      <c r="E423" t="str">
        <f t="shared" si="6"/>
        <v>25AUGFUT</v>
      </c>
    </row>
    <row r="424" spans="1:5">
      <c r="A424" s="22" t="s">
        <v>486</v>
      </c>
      <c r="B424" s="22" t="s">
        <v>486</v>
      </c>
      <c r="C424" s="22">
        <v>13687042</v>
      </c>
      <c r="D424" s="22">
        <v>53465</v>
      </c>
      <c r="E424" t="str">
        <f t="shared" si="6"/>
        <v>25JULFUT</v>
      </c>
    </row>
    <row r="425" spans="1:5">
      <c r="A425" s="22" t="s">
        <v>487</v>
      </c>
      <c r="B425" s="22" t="s">
        <v>487</v>
      </c>
      <c r="C425" s="22">
        <v>16697602</v>
      </c>
      <c r="D425" s="22">
        <v>65225</v>
      </c>
      <c r="E425" t="str">
        <f t="shared" si="6"/>
        <v>25AUGFUT</v>
      </c>
    </row>
    <row r="426" spans="1:5">
      <c r="A426" s="22" t="s">
        <v>488</v>
      </c>
      <c r="B426" s="22" t="s">
        <v>488</v>
      </c>
      <c r="C426" s="22">
        <v>13687298</v>
      </c>
      <c r="D426" s="22">
        <v>53466</v>
      </c>
      <c r="E426" t="str">
        <f t="shared" si="6"/>
        <v>25JULFUT</v>
      </c>
    </row>
    <row r="427" spans="1:5">
      <c r="A427" s="22" t="s">
        <v>489</v>
      </c>
      <c r="B427" s="22" t="s">
        <v>489</v>
      </c>
      <c r="C427" s="22">
        <v>16697858</v>
      </c>
      <c r="D427" s="22">
        <v>65226</v>
      </c>
      <c r="E427" t="str">
        <f t="shared" si="6"/>
        <v>25AUGFUT</v>
      </c>
    </row>
    <row r="428" spans="1:5">
      <c r="A428" s="22" t="s">
        <v>490</v>
      </c>
      <c r="B428" s="22" t="s">
        <v>490</v>
      </c>
      <c r="C428" s="22">
        <v>13687554</v>
      </c>
      <c r="D428" s="22">
        <v>53467</v>
      </c>
      <c r="E428" t="str">
        <f t="shared" si="6"/>
        <v>25JULFUT</v>
      </c>
    </row>
    <row r="429" spans="1:5">
      <c r="A429" s="22" t="s">
        <v>491</v>
      </c>
      <c r="B429" s="22" t="s">
        <v>491</v>
      </c>
      <c r="C429" s="22">
        <v>16698114</v>
      </c>
      <c r="D429" s="22">
        <v>65227</v>
      </c>
      <c r="E429" t="str">
        <f t="shared" si="6"/>
        <v>25AUGFUT</v>
      </c>
    </row>
    <row r="430" spans="1:5">
      <c r="A430" s="22" t="s">
        <v>492</v>
      </c>
      <c r="B430" s="22" t="s">
        <v>492</v>
      </c>
      <c r="C430" s="22">
        <v>13687810</v>
      </c>
      <c r="D430" s="22">
        <v>53468</v>
      </c>
      <c r="E430" t="str">
        <f t="shared" si="6"/>
        <v>25JULFUT</v>
      </c>
    </row>
    <row r="431" spans="1:5">
      <c r="A431" s="22" t="s">
        <v>493</v>
      </c>
      <c r="B431" s="22" t="s">
        <v>493</v>
      </c>
      <c r="C431" s="22">
        <v>16698370</v>
      </c>
      <c r="D431" s="22">
        <v>65228</v>
      </c>
      <c r="E431" t="str">
        <f t="shared" si="6"/>
        <v>25AUGFUT</v>
      </c>
    </row>
    <row r="432" spans="1:5">
      <c r="A432" s="22" t="s">
        <v>494</v>
      </c>
      <c r="B432" s="22" t="s">
        <v>494</v>
      </c>
      <c r="C432" s="22">
        <v>13688066</v>
      </c>
      <c r="D432" s="22">
        <v>53469</v>
      </c>
      <c r="E432" t="str">
        <f t="shared" si="6"/>
        <v>25JULFUT</v>
      </c>
    </row>
    <row r="433" spans="1:5">
      <c r="A433" s="22" t="s">
        <v>495</v>
      </c>
      <c r="B433" s="22" t="s">
        <v>495</v>
      </c>
      <c r="C433" s="22">
        <v>16699138</v>
      </c>
      <c r="D433" s="22">
        <v>65231</v>
      </c>
      <c r="E433" t="str">
        <f t="shared" si="6"/>
        <v>25AUGFUT</v>
      </c>
    </row>
    <row r="434" spans="1:5">
      <c r="A434" s="22" t="s">
        <v>496</v>
      </c>
      <c r="B434" s="22" t="s">
        <v>496</v>
      </c>
      <c r="C434" s="22">
        <v>13688322</v>
      </c>
      <c r="D434" s="22">
        <v>53470</v>
      </c>
      <c r="E434" t="str">
        <f t="shared" si="6"/>
        <v>25JULFUT</v>
      </c>
    </row>
    <row r="435" spans="1:5">
      <c r="A435" s="22" t="s">
        <v>497</v>
      </c>
      <c r="B435" s="22" t="s">
        <v>497</v>
      </c>
      <c r="C435" s="22">
        <v>16699394</v>
      </c>
      <c r="D435" s="22">
        <v>65232</v>
      </c>
      <c r="E435" t="str">
        <f t="shared" si="6"/>
        <v>25AUGFUT</v>
      </c>
    </row>
    <row r="436" spans="1:5">
      <c r="A436" s="22" t="s">
        <v>498</v>
      </c>
      <c r="B436" s="22" t="s">
        <v>498</v>
      </c>
      <c r="C436" s="22">
        <v>13688578</v>
      </c>
      <c r="D436" s="22">
        <v>53471</v>
      </c>
      <c r="E436" t="str">
        <f t="shared" si="6"/>
        <v>25JULFUT</v>
      </c>
    </row>
    <row r="437" spans="1:5">
      <c r="A437" s="22" t="s">
        <v>499</v>
      </c>
      <c r="B437" s="22" t="s">
        <v>499</v>
      </c>
      <c r="C437" s="22">
        <v>16699650</v>
      </c>
      <c r="D437" s="22">
        <v>65233</v>
      </c>
      <c r="E437" t="str">
        <f t="shared" si="6"/>
        <v>25AUGFUT</v>
      </c>
    </row>
    <row r="438" spans="1:5">
      <c r="A438" s="22" t="s">
        <v>500</v>
      </c>
      <c r="B438" s="22" t="s">
        <v>500</v>
      </c>
      <c r="C438" s="22">
        <v>13688834</v>
      </c>
      <c r="D438" s="22">
        <v>53472</v>
      </c>
      <c r="E438" t="str">
        <f t="shared" si="6"/>
        <v>25JULFUT</v>
      </c>
    </row>
    <row r="439" spans="1:5">
      <c r="A439" s="22" t="s">
        <v>501</v>
      </c>
      <c r="B439" s="22" t="s">
        <v>501</v>
      </c>
      <c r="C439" s="22">
        <v>16699906</v>
      </c>
      <c r="D439" s="22">
        <v>65234</v>
      </c>
      <c r="E439" t="str">
        <f t="shared" si="6"/>
        <v>25AUGFUT</v>
      </c>
    </row>
    <row r="440" spans="1:5">
      <c r="A440" s="22" t="s">
        <v>502</v>
      </c>
      <c r="B440" s="22" t="s">
        <v>502</v>
      </c>
      <c r="C440" s="22">
        <v>13689090</v>
      </c>
      <c r="D440" s="22">
        <v>53473</v>
      </c>
      <c r="E440" t="str">
        <f t="shared" si="6"/>
        <v>25JULFUT</v>
      </c>
    </row>
    <row r="441" spans="1:5">
      <c r="A441" s="22" t="s">
        <v>503</v>
      </c>
      <c r="B441" s="22" t="s">
        <v>503</v>
      </c>
      <c r="C441" s="22">
        <v>16700162</v>
      </c>
      <c r="D441" s="22">
        <v>65235</v>
      </c>
      <c r="E441" t="str">
        <f t="shared" si="6"/>
        <v>25AUGFUT</v>
      </c>
    </row>
    <row r="442" spans="1:5">
      <c r="A442" s="22" t="s">
        <v>504</v>
      </c>
      <c r="B442" s="22" t="s">
        <v>504</v>
      </c>
      <c r="C442" s="22">
        <v>16701186</v>
      </c>
      <c r="D442" s="22">
        <v>65239</v>
      </c>
      <c r="E442" t="str">
        <f t="shared" si="6"/>
        <v>25JULFUT</v>
      </c>
    </row>
    <row r="443" spans="1:5">
      <c r="A443" s="22" t="s">
        <v>505</v>
      </c>
      <c r="B443" s="22" t="s">
        <v>505</v>
      </c>
      <c r="C443" s="22">
        <v>16701954</v>
      </c>
      <c r="D443" s="22">
        <v>65242</v>
      </c>
      <c r="E443" t="str">
        <f t="shared" si="6"/>
        <v>25AUGFUT</v>
      </c>
    </row>
    <row r="444" spans="1:5">
      <c r="A444" s="22" t="s">
        <v>506</v>
      </c>
      <c r="B444" s="22" t="s">
        <v>506</v>
      </c>
      <c r="C444" s="22">
        <v>13689346</v>
      </c>
      <c r="D444" s="22">
        <v>53474</v>
      </c>
      <c r="E444" t="str">
        <f t="shared" si="6"/>
        <v>25JULFUT</v>
      </c>
    </row>
    <row r="445" spans="1:5">
      <c r="A445" s="22" t="s">
        <v>507</v>
      </c>
      <c r="B445" s="22" t="s">
        <v>507</v>
      </c>
      <c r="C445" s="22">
        <v>16702210</v>
      </c>
      <c r="D445" s="22">
        <v>65243</v>
      </c>
      <c r="E445" t="str">
        <f t="shared" si="6"/>
        <v>25AUGFUT</v>
      </c>
    </row>
    <row r="446" spans="1:5">
      <c r="A446" s="22" t="s">
        <v>508</v>
      </c>
      <c r="B446" s="22" t="s">
        <v>508</v>
      </c>
      <c r="C446" s="22">
        <v>13689602</v>
      </c>
      <c r="D446" s="22">
        <v>53475</v>
      </c>
      <c r="E446" t="str">
        <f t="shared" si="6"/>
        <v>25JULFUT</v>
      </c>
    </row>
    <row r="447" spans="1:5">
      <c r="A447" s="22" t="s">
        <v>509</v>
      </c>
      <c r="B447" s="22" t="s">
        <v>509</v>
      </c>
      <c r="C447" s="22">
        <v>16702466</v>
      </c>
      <c r="D447" s="22">
        <v>65244</v>
      </c>
      <c r="E447" t="str">
        <f t="shared" si="6"/>
        <v>25AUGFUT</v>
      </c>
    </row>
    <row r="448" spans="1:5">
      <c r="A448" s="22" t="s">
        <v>510</v>
      </c>
      <c r="B448" s="22" t="s">
        <v>510</v>
      </c>
      <c r="C448" s="22">
        <v>13690370</v>
      </c>
      <c r="D448" s="22">
        <v>53478</v>
      </c>
      <c r="E448" t="str">
        <f t="shared" si="6"/>
        <v>25JULFUT</v>
      </c>
    </row>
    <row r="449" spans="1:5">
      <c r="A449" s="22" t="s">
        <v>511</v>
      </c>
      <c r="B449" s="22" t="s">
        <v>511</v>
      </c>
      <c r="C449" s="22">
        <v>16702722</v>
      </c>
      <c r="D449" s="22">
        <v>65245</v>
      </c>
      <c r="E449" t="str">
        <f t="shared" si="6"/>
        <v>25AUGFUT</v>
      </c>
    </row>
    <row r="450" spans="1:5">
      <c r="A450" s="22" t="s">
        <v>512</v>
      </c>
      <c r="B450" s="22" t="s">
        <v>512</v>
      </c>
      <c r="C450" s="22">
        <v>13690626</v>
      </c>
      <c r="D450" s="22">
        <v>53479</v>
      </c>
      <c r="E450" t="str">
        <f t="shared" si="6"/>
        <v>25JULFUT</v>
      </c>
    </row>
    <row r="451" spans="1:5">
      <c r="A451" s="22" t="s">
        <v>513</v>
      </c>
      <c r="B451" s="22" t="s">
        <v>513</v>
      </c>
      <c r="C451" s="22">
        <v>16703490</v>
      </c>
      <c r="D451" s="22">
        <v>65248</v>
      </c>
      <c r="E451" t="str">
        <f t="shared" si="6"/>
        <v>25AUGFUT</v>
      </c>
    </row>
    <row r="452" spans="1:5">
      <c r="A452" s="22" t="s">
        <v>514</v>
      </c>
      <c r="B452" s="22" t="s">
        <v>514</v>
      </c>
      <c r="C452" s="22">
        <v>13690882</v>
      </c>
      <c r="D452" s="22">
        <v>53480</v>
      </c>
      <c r="E452" t="str">
        <f t="shared" si="6"/>
        <v>25JULFUT</v>
      </c>
    </row>
    <row r="453" spans="1:5">
      <c r="A453" s="22" t="s">
        <v>515</v>
      </c>
      <c r="B453" s="22" t="s">
        <v>515</v>
      </c>
      <c r="C453" s="22">
        <v>16703746</v>
      </c>
      <c r="D453" s="22">
        <v>65249</v>
      </c>
      <c r="E453" t="str">
        <f t="shared" si="6"/>
        <v>25AUGFUT</v>
      </c>
    </row>
    <row r="454" spans="1:5">
      <c r="A454" s="22" t="s">
        <v>516</v>
      </c>
      <c r="B454" s="22" t="s">
        <v>516</v>
      </c>
      <c r="C454" s="22">
        <v>13691138</v>
      </c>
      <c r="D454" s="22">
        <v>53481</v>
      </c>
      <c r="E454" t="str">
        <f t="shared" si="6"/>
        <v>25JULFUT</v>
      </c>
    </row>
    <row r="455" spans="1:5">
      <c r="A455" s="22" t="s">
        <v>517</v>
      </c>
      <c r="B455" s="22" t="s">
        <v>517</v>
      </c>
      <c r="C455" s="22">
        <v>16704002</v>
      </c>
      <c r="D455" s="22">
        <v>65250</v>
      </c>
      <c r="E455" t="str">
        <f t="shared" si="6"/>
        <v>25AUGFUT</v>
      </c>
    </row>
    <row r="456" spans="1:5">
      <c r="A456" s="22" t="s">
        <v>518</v>
      </c>
      <c r="B456" s="22" t="s">
        <v>518</v>
      </c>
      <c r="C456" s="22">
        <v>13691906</v>
      </c>
      <c r="D456" s="22">
        <v>53484</v>
      </c>
      <c r="E456" t="str">
        <f t="shared" si="6"/>
        <v>25JULFUT</v>
      </c>
    </row>
    <row r="457" spans="1:5">
      <c r="A457" s="22" t="s">
        <v>519</v>
      </c>
      <c r="B457" s="22" t="s">
        <v>519</v>
      </c>
      <c r="C457" s="22">
        <v>16704258</v>
      </c>
      <c r="D457" s="22">
        <v>65251</v>
      </c>
      <c r="E457" t="str">
        <f t="shared" si="6"/>
        <v>25AUGFUT</v>
      </c>
    </row>
    <row r="458" spans="1:5" ht="15">
      <c r="A458" s="24" t="s">
        <v>520</v>
      </c>
      <c r="B458" s="24" t="s">
        <v>520</v>
      </c>
      <c r="C458" s="24">
        <v>115365127</v>
      </c>
      <c r="E458" t="str">
        <f t="shared" si="6"/>
        <v>25JULFUT</v>
      </c>
    </row>
    <row r="459" spans="1:5" ht="15">
      <c r="A459" s="24" t="s">
        <v>521</v>
      </c>
      <c r="B459" s="24" t="s">
        <v>521</v>
      </c>
      <c r="C459" s="24">
        <v>115365383</v>
      </c>
      <c r="E459" t="str">
        <f t="shared" si="6"/>
        <v>25JULFUT</v>
      </c>
    </row>
    <row r="460" spans="1:5" ht="15">
      <c r="A460" s="24" t="s">
        <v>522</v>
      </c>
      <c r="B460" s="24" t="s">
        <v>522</v>
      </c>
      <c r="C460" s="24">
        <v>115365639</v>
      </c>
      <c r="E460" t="str">
        <f t="shared" si="6"/>
        <v>25JULFUT</v>
      </c>
    </row>
    <row r="461" spans="1:5" ht="15">
      <c r="A461" s="24" t="s">
        <v>523</v>
      </c>
      <c r="B461" s="24" t="s">
        <v>523</v>
      </c>
      <c r="C461" s="24">
        <v>114573319</v>
      </c>
      <c r="E461" t="str">
        <f t="shared" si="6"/>
        <v>25JULFUT</v>
      </c>
    </row>
    <row r="462" spans="1:5" ht="15">
      <c r="A462" s="24" t="s">
        <v>524</v>
      </c>
      <c r="B462" s="24" t="s">
        <v>524</v>
      </c>
      <c r="C462" s="24">
        <v>114573575</v>
      </c>
      <c r="E462" t="str">
        <f t="shared" ref="E462:E473" si="7">RIGHT(B462,8)</f>
        <v>25JULFUT</v>
      </c>
    </row>
    <row r="463" spans="1:5" ht="15">
      <c r="A463" s="24" t="s">
        <v>525</v>
      </c>
      <c r="B463" s="24" t="s">
        <v>525</v>
      </c>
      <c r="C463" s="24">
        <v>116027143</v>
      </c>
      <c r="E463" t="str">
        <f t="shared" si="7"/>
        <v>25JULFUT</v>
      </c>
    </row>
    <row r="464" spans="1:5" ht="15">
      <c r="A464" s="24" t="s">
        <v>526</v>
      </c>
      <c r="B464" s="24" t="s">
        <v>526</v>
      </c>
      <c r="C464" s="24">
        <v>117018887</v>
      </c>
      <c r="E464" t="str">
        <f t="shared" si="7"/>
        <v>25AUGFUT</v>
      </c>
    </row>
    <row r="465" spans="1:5" ht="15">
      <c r="A465" s="24" t="s">
        <v>526</v>
      </c>
      <c r="B465" s="24" t="s">
        <v>527</v>
      </c>
      <c r="C465" s="24">
        <v>117426439</v>
      </c>
      <c r="E465" t="str">
        <f t="shared" si="7"/>
        <v>25SEPFUT</v>
      </c>
    </row>
    <row r="466" spans="1:5" ht="15">
      <c r="A466" s="24" t="s">
        <v>528</v>
      </c>
      <c r="B466" s="24" t="s">
        <v>528</v>
      </c>
      <c r="C466" s="24">
        <v>115931655</v>
      </c>
      <c r="E466" t="str">
        <f t="shared" si="7"/>
        <v>25JULFUT</v>
      </c>
    </row>
    <row r="467" spans="1:5" ht="15">
      <c r="A467" s="24" t="s">
        <v>529</v>
      </c>
      <c r="B467" s="24" t="s">
        <v>529</v>
      </c>
      <c r="C467" s="24">
        <v>116983815</v>
      </c>
      <c r="E467" t="str">
        <f t="shared" si="7"/>
        <v>25JULFUT</v>
      </c>
    </row>
    <row r="468" spans="1:5" ht="15">
      <c r="A468" s="24" t="s">
        <v>530</v>
      </c>
      <c r="B468" s="24" t="s">
        <v>530</v>
      </c>
      <c r="C468" s="24">
        <v>114649607</v>
      </c>
      <c r="E468" t="str">
        <f t="shared" si="7"/>
        <v>25JULFUT</v>
      </c>
    </row>
    <row r="469" spans="1:5" ht="15">
      <c r="A469" s="24" t="s">
        <v>531</v>
      </c>
      <c r="B469" s="24" t="s">
        <v>531</v>
      </c>
      <c r="C469" s="24">
        <v>114649351</v>
      </c>
      <c r="E469" t="str">
        <f t="shared" si="7"/>
        <v>25JULFUT</v>
      </c>
    </row>
    <row r="470" spans="1:5" ht="15">
      <c r="A470" s="24" t="s">
        <v>532</v>
      </c>
      <c r="B470" s="24" t="s">
        <v>532</v>
      </c>
      <c r="C470" s="24">
        <v>111764487</v>
      </c>
      <c r="E470" t="str">
        <f t="shared" si="7"/>
        <v>25JULFUT</v>
      </c>
    </row>
    <row r="471" spans="1:5" ht="15">
      <c r="A471" s="24" t="s">
        <v>533</v>
      </c>
      <c r="B471" s="24" t="s">
        <v>533</v>
      </c>
      <c r="C471" s="24">
        <v>115366663</v>
      </c>
      <c r="E471" t="str">
        <f t="shared" si="7"/>
        <v>25JULFUT</v>
      </c>
    </row>
    <row r="472" spans="1:5" ht="15">
      <c r="A472" s="24" t="s">
        <v>534</v>
      </c>
      <c r="B472" s="24" t="s">
        <v>534</v>
      </c>
      <c r="C472" s="24">
        <v>115366919</v>
      </c>
      <c r="E472" t="str">
        <f t="shared" si="7"/>
        <v>25JULFUT</v>
      </c>
    </row>
    <row r="473" spans="1:5" ht="15">
      <c r="A473" s="24" t="s">
        <v>535</v>
      </c>
      <c r="B473" s="24" t="s">
        <v>535</v>
      </c>
      <c r="C473" s="24">
        <v>115367175</v>
      </c>
      <c r="E473" t="str">
        <f t="shared" si="7"/>
        <v>25JULFUT</v>
      </c>
    </row>
  </sheetData>
  <autoFilter ref="A13:K457" xr:uid="{D2E8F3F6-263B-4715-A13F-F8AF2FD62FC9}"/>
  <mergeCells count="1">
    <mergeCell ref="E3:F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VOLUME_PRICE_REVERSE_SIGNALS</vt:lpstr>
      <vt:lpstr>Config2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SIDDHESH DALVI</dc:creator>
  <cp:lastModifiedBy>SIDDHESH DALVI</cp:lastModifiedBy>
  <dcterms:created xsi:type="dcterms:W3CDTF">2025-07-09T13:34:04Z</dcterms:created>
  <dcterms:modified xsi:type="dcterms:W3CDTF">2025-07-09T16:35:15Z</dcterms:modified>
</cp:coreProperties>
</file>